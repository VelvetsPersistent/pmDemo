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Task1_UserStories" sheetId="2" r:id="rId6"/>
    <sheet state="visible" name="Task2_Wireframes" sheetId="3" r:id="rId7"/>
    <sheet state="visible" name="Task3_ProjectTimeline" sheetId="4" r:id="rId8"/>
    <sheet state="visible" name="Task4_CostEstimation" sheetId="5" r:id="rId9"/>
    <sheet state="visible" name="Task5_CompetitorAnalysis"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7">
      <text>
        <t xml:space="preserve">(As a &lt; WHO &gt;, I want &lt; WHAT &gt; so that &lt; WHY &gt;.)</t>
      </text>
    </comment>
    <comment authorId="0" ref="H17">
      <text>
        <t xml:space="preserve">(Fibonacci scale)
1 Point: Trivial UI tweaks or simple text changes.
2 Points: Basic static fields or standard dropdown filters.
3 Points: Standard CRUD operations or basic configuration forms.
5 Points: Multi-step client-side/server operations.
8 Points: High-complexity background automation or third-party webhooks.</t>
      </text>
    </comment>
  </commentList>
</comments>
</file>

<file path=xl/sharedStrings.xml><?xml version="1.0" encoding="utf-8"?>
<sst xmlns="http://schemas.openxmlformats.org/spreadsheetml/2006/main" count="418" uniqueCount="348">
  <si>
    <t>Task 2: Wireframes</t>
  </si>
  <si>
    <t>Task 1: User Stories</t>
  </si>
  <si>
    <t>Total Story Points: 47 Points</t>
  </si>
  <si>
    <t>AI-powered Chatbot System - Master PM Task Deliverables Summary</t>
  </si>
  <si>
    <t>Tool Used: Draw.io (Diagrams.net)</t>
  </si>
  <si>
    <t>Key Summary Breakdown</t>
  </si>
  <si>
    <t>Task 3: Project Timeline</t>
  </si>
  <si>
    <t>Total UI Components:</t>
  </si>
  <si>
    <t>Tab Name</t>
  </si>
  <si>
    <t>Total Stories:</t>
  </si>
  <si>
    <t>10 core elements across 3 distinct screens</t>
  </si>
  <si>
    <t>Task / Module</t>
  </si>
  <si>
    <t>Key Focus &amp; Deliverables</t>
  </si>
  <si>
    <t>Wireframes Below</t>
  </si>
  <si>
    <t xml:space="preserve">Modules Covered: </t>
  </si>
  <si>
    <t>Core Metrics &amp; Outputs</t>
  </si>
  <si>
    <t>Screens Modeled:</t>
  </si>
  <si>
    <t>Gantt Chart on right</t>
  </si>
  <si>
    <t>Knowledge Base &amp; Scraping (3), AI Config (1), Chat Widget (1), Omnichannel Inbox (3), Agent Handoff (2).</t>
  </si>
  <si>
    <t>1. Omnichannel Inbox &amp; Dashboard: Features channel filters, real-time message viewport, user metadata sidebar, and live AI/Human mode toggle.
2. Knowledge Base Section: Drag-and-drop file uploader, URL crawler with status indicator, and Markdown document manager directory.
3. Customer Chat Widget: Website floating bubble with interactive states.</t>
  </si>
  <si>
    <t>Gantt Chart Table</t>
  </si>
  <si>
    <t>⬇️</t>
  </si>
  <si>
    <t>Tab 0: Overview</t>
  </si>
  <si>
    <t>Story Point Distribution:</t>
  </si>
  <si>
    <t>Design Guidelines:</t>
  </si>
  <si>
    <t>Executive Landing</t>
  </si>
  <si>
    <t>➡️</t>
  </si>
  <si>
    <t>2 Points: Simple UI filtering (US-07).</t>
  </si>
  <si>
    <t>Metadata, submission index, and project scope summary.</t>
  </si>
  <si>
    <t>1. Clean visual layout hierarchy using standard grid structures.</t>
  </si>
  <si>
    <t>Phase Name</t>
  </si>
  <si>
    <t>Master navigation hub for evaluators.</t>
  </si>
  <si>
    <t>3 Points: Basic forms &amp; metadata views (US-03, US-04, US-08).</t>
  </si>
  <si>
    <t>2. Explicit contrast between automated AI events and human agent interactions.</t>
  </si>
  <si>
    <t>Week 1</t>
  </si>
  <si>
    <t>5 Points: Multi-step client/server operations (US-01, US-05, US-09, US-10).</t>
  </si>
  <si>
    <t>Week 2</t>
  </si>
  <si>
    <t>Tab 1: Task 1</t>
  </si>
  <si>
    <t>3. Direct structural compatibility with draw.io / Figma diagram exports.</t>
  </si>
  <si>
    <t>Week 3</t>
  </si>
  <si>
    <t>Week 4</t>
  </si>
  <si>
    <t>8 Points: Complex background pipelines &amp; external integrations (US-02, US-06).</t>
  </si>
  <si>
    <t>Week 5</t>
  </si>
  <si>
    <t>User Stories &amp; Points</t>
  </si>
  <si>
    <t>Week 6</t>
  </si>
  <si>
    <t>Week 7</t>
  </si>
  <si>
    <t>Week 8</t>
  </si>
  <si>
    <t>User Stories Table</t>
  </si>
  <si>
    <t>10 Agile user stories across Knowledge Base, Prompts, Inbox, Widget, and Handoff.</t>
  </si>
  <si>
    <t>Wireframe Specifications Table</t>
  </si>
  <si>
    <t>Total Time:</t>
  </si>
  <si>
    <t>Story ID</t>
  </si>
  <si>
    <t>800 Man-Hours</t>
  </si>
  <si>
    <t>10 Stories | 47 Story Points (Fibonacci scale).</t>
  </si>
  <si>
    <t>Component ID</t>
  </si>
  <si>
    <t>Phase 1: Discovery &amp; UI/UX</t>
  </si>
  <si>
    <t>Epic (Module)</t>
  </si>
  <si>
    <t>User Role</t>
  </si>
  <si>
    <t>Screen Name</t>
  </si>
  <si>
    <t xml:space="preserve">User Story </t>
  </si>
  <si>
    <t>Tab 2: Task 2</t>
  </si>
  <si>
    <t>Layout Area</t>
  </si>
  <si>
    <t>Acceptance Criteria</t>
  </si>
  <si>
    <t>Priority</t>
  </si>
  <si>
    <t>UI Element / Feature</t>
  </si>
  <si>
    <t>UI Wireframes &amp; Specs</t>
  </si>
  <si>
    <t xml:space="preserve">Story Points </t>
  </si>
  <si>
    <t>Functional Description</t>
  </si>
  <si>
    <t>US-01</t>
  </si>
  <si>
    <t>Interaction &amp; State Notes</t>
  </si>
  <si>
    <t>UI component layout specs and ASCII wireframe maps for 3 core interfaces.</t>
  </si>
  <si>
    <t>10 UI Components across Admin Inbox, Knowledge Base, and Widget.</t>
  </si>
  <si>
    <t>Knowledge Base</t>
  </si>
  <si>
    <t>Admin</t>
  </si>
  <si>
    <t>WF-01</t>
  </si>
  <si>
    <t>Tab 3: Task 3</t>
  </si>
  <si>
    <t>Project Timeline</t>
  </si>
  <si>
    <t>Admin Dashboard</t>
  </si>
  <si>
    <t>As an Admin, I want to upload CSV, PDF, TXT, and Markdown files, so that the chatbot can use custom internal documents to answer customer questions.</t>
  </si>
  <si>
    <t>Work Breakdown Structure (WBS), Gantt roadmap, and role responsibilities.</t>
  </si>
  <si>
    <t>Left Navigation</t>
  </si>
  <si>
    <t>800 Man-Hours | 2 Months (8 Weeks) | 5 Team Members.</t>
  </si>
  <si>
    <t>1. Accepts .pdf, .csv, .txt, and .md formats up to 25MB.
2. Shows file upload progress bar and validation errors for corrupted files.
3. Automatically extracts raw text, converts it into Markdown, and indexes it into the vector database.</t>
  </si>
  <si>
    <t>Navigation Sidebar</t>
  </si>
  <si>
    <t>Phase 2: Core Backend &amp; DB</t>
  </si>
  <si>
    <t>High</t>
  </si>
  <si>
    <t>Menu items: Inbox, Knowledge Base, AI Prompts, Analytics, Settings.</t>
  </si>
  <si>
    <t>Active tab highlight. Collapsible for expanded workspace.</t>
  </si>
  <si>
    <t>Tab 4: Task 4</t>
  </si>
  <si>
    <t>Cost Estimation</t>
  </si>
  <si>
    <t>CAPEX development labor cost calculation and OPEX running cost notes.</t>
  </si>
  <si>
    <t>WF-02</t>
  </si>
  <si>
    <t>600,000 Total Labor Cost + API/Hosting OPEX.</t>
  </si>
  <si>
    <t>Total Effort:</t>
  </si>
  <si>
    <t>Center Left</t>
  </si>
  <si>
    <t>800 Man-Hours.</t>
  </si>
  <si>
    <t>Chat Conversations Feed</t>
  </si>
  <si>
    <t>Phase 3: Frontend Build</t>
  </si>
  <si>
    <t>Tab 5: Task 5</t>
  </si>
  <si>
    <t>US-02</t>
  </si>
  <si>
    <t>Scrollable list of active threads showing user name, preview message, and timestamp.</t>
  </si>
  <si>
    <t>Competitor Analysis</t>
  </si>
  <si>
    <t>Includes channel badge icons (Web, FB, IG, WhatsApp) and unread count badges.</t>
  </si>
  <si>
    <t>Feature parity matrix (Tawk.to, Chatbase, Crisp) and proposed value-add features.</t>
  </si>
  <si>
    <t>4 Strategic Features (Sentiment Escalation, AI Copilot, etc.).</t>
  </si>
  <si>
    <t>As an Admin, I want to enter a website URL in a "Train from Website" field, so that the AI can scrape the web pages and train on live web content.</t>
  </si>
  <si>
    <t>WF-03</t>
  </si>
  <si>
    <t>1. Admin inputs valid http/https URL and clicks "Train".
2. UI displays real-time crawling status ("Fetching...", "Extracting...", "Complete").
3. Scraped text is converted to Markdown format and saved in the Trained Directory.
4. Error message is thrown if page is unreachable or behind a paywall.</t>
  </si>
  <si>
    <t>Top Header</t>
  </si>
  <si>
    <t>Channel Filter Bar</t>
  </si>
  <si>
    <t>Project Duration:</t>
  </si>
  <si>
    <t>Filter tabs/dropdown: All, Website, Facebook, Instagram, WhatsApp.</t>
  </si>
  <si>
    <t>2 Months / 8 Weeks / 40 Business Days.</t>
  </si>
  <si>
    <t>Updates thread feed dynamically upon selection.</t>
  </si>
  <si>
    <t>Phase 4: Omnichannel &amp; AI</t>
  </si>
  <si>
    <t>WF-04</t>
  </si>
  <si>
    <t>Center Panel</t>
  </si>
  <si>
    <t>US-03</t>
  </si>
  <si>
    <t>Real-Time Chat Viewport</t>
  </si>
  <si>
    <t>Main messaging screen with scrollable history and message input box.</t>
  </si>
  <si>
    <t>Shows system event notes (e.g., "Agent took over chat").</t>
  </si>
  <si>
    <t>As an Admin, I want to view, edit, search, and delete documents in a "Trained Directory", so that I can keep chatbot training material updated and accurate.</t>
  </si>
  <si>
    <t>WF-05</t>
  </si>
  <si>
    <t>1. Directory displays table listing file name, source type (File/URL), date added, and status.
2. Clicking a document opens a Markdown editor to modify text directly.
3. Deleting a record purges it from the vector index immediately.</t>
  </si>
  <si>
    <t>Top Right Header</t>
  </si>
  <si>
    <t>Team Composition:</t>
  </si>
  <si>
    <t>Mode Toggle Switch</t>
  </si>
  <si>
    <t>5 Members (1 PM, 1 UI/UX, 1 Backend, 1 Frontend, 1 QA).</t>
  </si>
  <si>
    <t>Medium</t>
  </si>
  <si>
    <t>Interactive toggle switch labeled "AI Mode" / "Human Mode".</t>
  </si>
  <si>
    <t>Green badge = AI active. Amber badge = Human active. Disables/enables manual input field.</t>
  </si>
  <si>
    <t>Phase 5: QA &amp; Bug Fixing</t>
  </si>
  <si>
    <t>WF-06</t>
  </si>
  <si>
    <t>Right Side Panel</t>
  </si>
  <si>
    <t>Customer Metadata View</t>
  </si>
  <si>
    <t>Displays user email, phone number, location, total visits, and channel source.</t>
  </si>
  <si>
    <t>Scrollable timeline view showing previous interactions.</t>
  </si>
  <si>
    <t>WF-07</t>
  </si>
  <si>
    <t>US-04</t>
  </si>
  <si>
    <t>Top Section</t>
  </si>
  <si>
    <t>Document Drag &amp; Drop</t>
  </si>
  <si>
    <t>Upload zone accepting PDF, CSV, TXT, and Markdown files (max 25MB).</t>
  </si>
  <si>
    <t>AI Configuration</t>
  </si>
  <si>
    <t>Phase 6: Deployment &amp; Launch</t>
  </si>
  <si>
    <t>Shows visual progress bar during processing and text extraction.</t>
  </si>
  <si>
    <t>WF-08</t>
  </si>
  <si>
    <t>As an Admin, I want to configure system prompts, tone, and guardrails, so that the AI responds according to company guidelines and brand voice.</t>
  </si>
  <si>
    <t>Middle Section</t>
  </si>
  <si>
    <t>1. Text area provided for system prompt input (max 2,000 characters).
2. Preset options available for tone (e.g., Professional, Friendly, Concise).
3. Admin can set default fallback responses when AI confidence is low.</t>
  </si>
  <si>
    <t>"Train from Website" Form</t>
  </si>
  <si>
    <t>URL text input field with a prominent "Train / Crawl" CTA button.</t>
  </si>
  <si>
    <t>Real-time status indicator text: "Fetching URL..." $\rightarrow$ "Extracting Data..." $\rightarrow$ "Complete".</t>
  </si>
  <si>
    <t>WF-09</t>
  </si>
  <si>
    <t>Bottom Section</t>
  </si>
  <si>
    <t>Trained Directory Table</t>
  </si>
  <si>
    <t>Data table listing File Name, Source Type (File/URL), Date Added, and Actions.</t>
  </si>
  <si>
    <t>Actions: View/Edit Markdown (opens modal editor) and Delete (purges from vector DB).</t>
  </si>
  <si>
    <t>WF-10</t>
  </si>
  <si>
    <t>Chat Widget</t>
  </si>
  <si>
    <t>Bottom-Right Floating</t>
  </si>
  <si>
    <t>Widget Bubble / Expanded</t>
  </si>
  <si>
    <t>Minimizable floating icon that opens into a $380\text{px} \times 600\text{px}$ chat window on the website.</t>
  </si>
  <si>
    <t>US-05</t>
  </si>
  <si>
    <t>Shows header with bot branding, real-time typing indicators, and session chat log.</t>
  </si>
  <si>
    <t>Customer</t>
  </si>
  <si>
    <t>As a Website Visitor, I want to open a floating chat widget and ask questions, so that I get instant automated support based on company data.</t>
  </si>
  <si>
    <t>1. Floating bubble loads on site bottom-right without impacting page load speed.
2. Displays typing indicator while AI generates a response.
3. Retains session chat history during a single browsing session.</t>
  </si>
  <si>
    <t>US-06</t>
  </si>
  <si>
    <t>Omnichannel Inbox</t>
  </si>
  <si>
    <t>Support Agent</t>
  </si>
  <si>
    <t>As a Support Agent, I want to view all customer messages from Web, Facebook, Instagram, and WhatsApp in a single inbox, so that I don't have to switch between apps.</t>
  </si>
  <si>
    <t>1. Unified inbox lists incoming chats sorted by last active timestamp.
2. Clear icon badges indicate channel origin (Website, FB, IG, WhatsApp).
3. Real-time WebSockets push new incoming messages without manual page refresh.</t>
  </si>
  <si>
    <t>Team Structure Table</t>
  </si>
  <si>
    <t>Role Title</t>
  </si>
  <si>
    <t>US-07</t>
  </si>
  <si>
    <t>Headcount</t>
  </si>
  <si>
    <t>Allocated Time</t>
  </si>
  <si>
    <t>Core Responsibilities</t>
  </si>
  <si>
    <t>Key Deliverables</t>
  </si>
  <si>
    <t>As a Support Agent, I want to filter the inbox by channel source, so that I can focus on specific communication channels when needed.</t>
  </si>
  <si>
    <t>1. Filter dropdown/tabs for "All", "Website", "Facebook", "Instagram", "WhatsApp".
2. Unread badge counts update dynamically per filter view.</t>
  </si>
  <si>
    <t>Project Manager (PM)</t>
  </si>
  <si>
    <t>2 Months (100%)</t>
  </si>
  <si>
    <t>Project roadmap, sprint planning, client communication, risk management, and daily standups.</t>
  </si>
  <si>
    <t>PRD, Sprint Backlog, Gantt Schedule, Delivery Reports.</t>
  </si>
  <si>
    <t>US-08</t>
  </si>
  <si>
    <t>As a Support Agent, I want to view detailed customer profile metadata and full conversation history in the inbox side panel, so that I have full context before responding.</t>
  </si>
  <si>
    <t>1. Side panel displays contact name, email, phone number, and location (if captured).
2. Scrollable timeline showing previous interactions across all connected channels.</t>
  </si>
  <si>
    <t>UI/UX Designer</t>
  </si>
  <si>
    <t>1 Month (50% overall)</t>
  </si>
  <si>
    <t>User flows, wireframes, component library, and high-fidelity Figma prototypes.</t>
  </si>
  <si>
    <t>Dashboard Layouts, Chat Widget Specs, Interactive Prototypes.</t>
  </si>
  <si>
    <t>Backend Developer</t>
  </si>
  <si>
    <t>US-09</t>
  </si>
  <si>
    <t>Agent Handoff</t>
  </si>
  <si>
    <t>Vector DB setup, LLM API integration, web scraping pipeline, Meta/WhatsApp webhooks, DB design.</t>
  </si>
  <si>
    <t>As a Support Agent, I want to manually switch a chat from "AI Mode" to "Human Mode", so that I can stop automated bot responses and take over the conversation directly.</t>
  </si>
  <si>
    <t>Database Schema, Web Crawler, Webhooks, REST/GraphQL APIs.</t>
  </si>
  <si>
    <t>1. Prominent UI toggle switch showing current state ("AI Mode" vs "Human Mode").
2. Toggling to "Human Mode" disables AI auto-reply and unlocks the agent text input box.
3. System posts a non-customer-facing system event log: "Agent [Name] joined the chat."</t>
  </si>
  <si>
    <t>Frontend Developer</t>
  </si>
  <si>
    <t>Admin dashboard UI (React/Next.js), chat widget script, real-time WebSockets, training page UI.</t>
  </si>
  <si>
    <t>Responsive Admin Dashboard, Embedded Chat Widget.</t>
  </si>
  <si>
    <t>US-10</t>
  </si>
  <si>
    <t>QA Engineer</t>
  </si>
  <si>
    <t>1.5 Months (75% overall)</t>
  </si>
  <si>
    <t>Test plan creation, API testing, end-to-end integration testing across channels, bug tracking.</t>
  </si>
  <si>
    <t>As an Admin, I want the system to automatically trigger a Human Handover if the AI cannot answer or if the user requests a human, so that customer frustration is minimized.</t>
  </si>
  <si>
    <t>Test Cases, Automation Scripts, Bug Reports, Release Sign-off.</t>
  </si>
  <si>
    <t>1. Automatically flips toggle to "Human Mode" if AI confidence score drops below preset threshold.
2. Keywords like "talk to agent" or "human support" immediately trigger handover.
3. Sends an unread priority notification alert to online agents in the dashboard.</t>
  </si>
  <si>
    <t>Work Breakdown Structure Table</t>
  </si>
  <si>
    <t>Phase #</t>
  </si>
  <si>
    <t>Phase / Milestone Name</t>
  </si>
  <si>
    <t>Key Activities &amp; Tasks</t>
  </si>
  <si>
    <t>Assigned Roles</t>
  </si>
  <si>
    <t>Man-Hour Estimation</t>
  </si>
  <si>
    <t>Duration (Days)</t>
  </si>
  <si>
    <t>Target Schedule</t>
  </si>
  <si>
    <t>Phase 1</t>
  </si>
  <si>
    <t>Discovery &amp; UI/UX Design</t>
  </si>
  <si>
    <t>Requirements freeze, architecture planning, Figma UI wireframes, chat widget layout design.</t>
  </si>
  <si>
    <t>PM, UI/UX</t>
  </si>
  <si>
    <t>120 hrs</t>
  </si>
  <si>
    <t>15 Days</t>
  </si>
  <si>
    <t>Weeks 1 – 3</t>
  </si>
  <si>
    <t>Phase 2</t>
  </si>
  <si>
    <t>Core Architecture &amp; Backend</t>
  </si>
  <si>
    <t>Database schema setup, OpenAI API integration, Vector DB indexing, Web Scraper development.</t>
  </si>
  <si>
    <t>Backend Dev, PM</t>
  </si>
  <si>
    <t>200 hrs</t>
  </si>
  <si>
    <t>20 Days</t>
  </si>
  <si>
    <t>Weeks 2 – 5</t>
  </si>
  <si>
    <t>Phase 3</t>
  </si>
  <si>
    <t>Frontend &amp; Admin Dashboard</t>
  </si>
  <si>
    <t>Dashboard layout build, Knowledge Base UI, Training Directory, Embeddable Chat Widget script.</t>
  </si>
  <si>
    <t>Frontend Dev, UI/UX</t>
  </si>
  <si>
    <t>160 hrs</t>
  </si>
  <si>
    <t>Weeks 3 – 6</t>
  </si>
  <si>
    <t>Phase 4</t>
  </si>
  <si>
    <t>Omnichannel &amp; AI Integration</t>
  </si>
  <si>
    <t>Meta Webhooks (FB/IG), WhatsApp API sync, AI/Human Toggle logic, Real-time WebSocket messaging.</t>
  </si>
  <si>
    <t>Backend, Frontend</t>
  </si>
  <si>
    <t>Weeks 5 – 7</t>
  </si>
  <si>
    <t>Task 4: Cost Estimation</t>
  </si>
  <si>
    <t>Phase 5</t>
  </si>
  <si>
    <t>Testing, Bug Fixing &amp; QA</t>
  </si>
  <si>
    <t>Task 5: Competitor Analysis</t>
  </si>
  <si>
    <t>Integration testing across channels, web scraper edge-case testing, load testing, bug resolution.</t>
  </si>
  <si>
    <t>QA, All Devs</t>
  </si>
  <si>
    <t>Project Duration: 2 Months (8 Weeks)</t>
  </si>
  <si>
    <t>10 Days</t>
  </si>
  <si>
    <t>Weeks 6 – 8</t>
  </si>
  <si>
    <t>Phase 6</t>
  </si>
  <si>
    <t>Deployment &amp; Handover</t>
  </si>
  <si>
    <t>Production deployment, server setup, documentation completion, admin user training.</t>
  </si>
  <si>
    <t>Competitors Evaluated:</t>
  </si>
  <si>
    <t>PM, Backend Dev</t>
  </si>
  <si>
    <t>Total Labor Cost:</t>
  </si>
  <si>
    <t>Tawk.to, Chatbase, Crisp / Intercom</t>
  </si>
  <si>
    <t>40 hrs</t>
  </si>
  <si>
    <t>5 Days</t>
  </si>
  <si>
    <t>Market Positioning:</t>
  </si>
  <si>
    <t>Bridges the gap between raw AI chatbot builders (like Chatbase) and dedicated support inbox tools (like Tawk.to) by offering an all-in-one SMB solution.</t>
  </si>
  <si>
    <t>Cost Basis:</t>
  </si>
  <si>
    <t>TOTAL</t>
  </si>
  <si>
    <t>Resource allocation percentages based on the Project timeline roadmap.</t>
  </si>
  <si>
    <t>Competitive Edge:</t>
  </si>
  <si>
    <t>Native multi-channel webhooks combined with Markdown-based live knowledge base training and real-time AI/Human toggling.</t>
  </si>
  <si>
    <t>Full Development Lifecycle</t>
  </si>
  <si>
    <t>Value-Add Focus:</t>
  </si>
  <si>
    <t>Enhancements prioritize agent productivity (AI Copilot), customer retention (Sentiment Escalation), and knowledge freshness (Scheduled Re-Indexing).</t>
  </si>
  <si>
    <t>Justification:</t>
  </si>
  <si>
    <t>End-to-End System Build</t>
  </si>
  <si>
    <t>Entire Team</t>
  </si>
  <si>
    <t>800 hrs</t>
  </si>
  <si>
    <t xml:space="preserve">PM, Backend, &amp; Frontend: Full-time dedicated commitment across the entire 2-month lifecycle </t>
  </si>
  <si>
    <t>40 Days</t>
  </si>
  <si>
    <t>2 Months</t>
  </si>
  <si>
    <t>UI/UX Designer: Equivalent to 1 full month concentrated heavily in Phase 1 &amp; 2 for wireframes and design system setup.</t>
  </si>
  <si>
    <t>Product Research &amp; Competitor Analysis</t>
  </si>
  <si>
    <t>Feature / Capability</t>
  </si>
  <si>
    <t>Proposed System</t>
  </si>
  <si>
    <t>Tawk.to</t>
  </si>
  <si>
    <t>Chatbase / CustomGPT</t>
  </si>
  <si>
    <t>Crisp / Intercom</t>
  </si>
  <si>
    <t>Custom AI Document Training (PDF, CSV, MD)</t>
  </si>
  <si>
    <t>Full Support</t>
  </si>
  <si>
    <t>Cost Breakdown Table</t>
  </si>
  <si>
    <t>No Native Support</t>
  </si>
  <si>
    <t>Add-on / Limited</t>
  </si>
  <si>
    <t>"Train from Website" Web Scraper</t>
  </si>
  <si>
    <t>Monthly Rate</t>
  </si>
  <si>
    <t>Project Duration</t>
  </si>
  <si>
    <t>Resource Allocation (%)</t>
  </si>
  <si>
    <t>Allocated Months</t>
  </si>
  <si>
    <t>Basic URL Indexing</t>
  </si>
  <si>
    <t>Total Cost Calculation</t>
  </si>
  <si>
    <t>Total Line Cost</t>
  </si>
  <si>
    <t>Omnichannel Inbox (FB, IG, WhatsApp, Web)</t>
  </si>
  <si>
    <t>Partial (Web/WhatsApp)</t>
  </si>
  <si>
    <t>No Native live box</t>
  </si>
  <si>
    <t>Real-Time Human Agent Handoff / Toggle</t>
  </si>
  <si>
    <t>Weak / Third-party only</t>
  </si>
  <si>
    <t>Markdown Knowledge Base Directory</t>
  </si>
  <si>
    <t>No</t>
  </si>
  <si>
    <t>View Only</t>
  </si>
  <si>
    <t>Internal KB</t>
  </si>
  <si>
    <t>Target Pricing Tier</t>
  </si>
  <si>
    <t>Mid-Market / SMB</t>
  </si>
  <si>
    <t>Free / Low Cost</t>
  </si>
  <si>
    <t>API Tiered</t>
  </si>
  <si>
    <t>Enterprise Tier (High)</t>
  </si>
  <si>
    <t>Proposed Value-Adding Features</t>
  </si>
  <si>
    <t>Feature</t>
  </si>
  <si>
    <t>Proposed Feature</t>
  </si>
  <si>
    <t>Category</t>
  </si>
  <si>
    <t>Description &amp; User Value</t>
  </si>
  <si>
    <t>Strategic Impact &amp; ROI</t>
  </si>
  <si>
    <t>VF-01</t>
  </si>
  <si>
    <t>Smart Sentiment Escalation</t>
  </si>
  <si>
    <t>AI / Support Automation</t>
  </si>
  <si>
    <t>Automatically detect negative customer sentiment, frustration keywords, or repetitive loops in real time and trigger automatic human agent handover.</t>
  </si>
  <si>
    <t>Prevents customer churn and lowers drop-off rates during poor AI interactions.</t>
  </si>
  <si>
    <t>VF-02</t>
  </si>
  <si>
    <t>AI Copilot for Human Agents</t>
  </si>
  <si>
    <t>Agent Productivity</t>
  </si>
  <si>
    <t>When in "Human Mode", provide reps with AI-suggested draft responses, quick knowledge base search, and auto-summaries of the chat history.</t>
  </si>
  <si>
    <t>Drastically reduces Average Handle Time (AHT) and speeds up human response times.</t>
  </si>
  <si>
    <t>VF-03</t>
  </si>
  <si>
    <t>Automated Scheduled Re-Indexing</t>
  </si>
  <si>
    <t>Allow admins to set cron-scheduled crawls (e.g., weekly/monthly) on training URLs to auto-update Markdown data.</t>
  </si>
  <si>
    <t>Eliminates manual re-training maintenance and ensures the AI never gives stale information.</t>
  </si>
  <si>
    <t>VF-04</t>
  </si>
  <si>
    <t>Unanswered Query &amp; Knowledge Gap Insights</t>
  </si>
  <si>
    <t>Analytics</t>
  </si>
  <si>
    <t>An analytics dashboard aggregating questions where the AI had low confidence scores or requested human handoff.</t>
  </si>
  <si>
    <t>Provides admins with direct data on what missing content needs to be uploaded to the knowledge base.</t>
  </si>
  <si>
    <t>TOTAL LABOR COST</t>
  </si>
  <si>
    <t>Sum of all roles</t>
  </si>
  <si>
    <t>Operational Expenditure (OPEX) Estimation</t>
  </si>
  <si>
    <t>OPERATIONAL INFRASTRUCTURE ESTIMATION (OPEX - THIRD-PARTY SERVICES)</t>
  </si>
  <si>
    <t>Note: Operational costs are ongoing usage-based expenses separate from initial development labor costs.</t>
  </si>
  <si>
    <t xml:space="preserve">1. LLM API Usage (OpenAI / Anthropic): </t>
  </si>
  <si>
    <t>Variable cost based on query volume (~$0.0015 / 1K tokens).</t>
  </si>
  <si>
    <t xml:space="preserve">2. Vector Database Hosting (Pinecone / Qdrant): </t>
  </si>
  <si>
    <t>~$70–$100 / month for document embeddings storage.</t>
  </si>
  <si>
    <t xml:space="preserve">3. Meta Business API (WhatsApp Messaging): </t>
  </si>
  <si>
    <t xml:space="preserve">4. Cloud Infrastructure (AWS / GCP / Vercel): </t>
  </si>
  <si>
    <t>~$50–$100 / month for server hosting &amp; WebSockets.</t>
  </si>
</sst>
</file>

<file path=xl/styles.xml><?xml version="1.0" encoding="utf-8"?>
<styleSheet xmlns="http://schemas.openxmlformats.org/spreadsheetml/2006/main" xmlns:x14ac="http://schemas.microsoft.com/office/spreadsheetml/2009/9/ac" xmlns:mc="http://schemas.openxmlformats.org/markup-compatibility/2006">
  <fonts count="29">
    <font>
      <sz val="10.0"/>
      <color rgb="FF000000"/>
      <name val="Arial"/>
      <scheme val="minor"/>
    </font>
    <font>
      <b/>
      <sz val="11.0"/>
      <color rgb="FF1F1F1F"/>
      <name val="Roboto Mono"/>
    </font>
    <font>
      <color theme="1"/>
      <name val="Roboto Mono"/>
    </font>
    <font>
      <b/>
      <sz val="14.0"/>
      <color rgb="FF1F1F1F"/>
      <name val="Roboto Mono"/>
    </font>
    <font>
      <color theme="1"/>
      <name val="Roboto"/>
    </font>
    <font>
      <b/>
      <color theme="1"/>
      <name val="Arial"/>
      <scheme val="minor"/>
    </font>
    <font>
      <b/>
      <sz val="14.0"/>
      <color theme="1"/>
      <name val="Roboto Mono"/>
    </font>
    <font>
      <b/>
      <sz val="10.0"/>
      <color theme="1"/>
      <name val="Roboto"/>
    </font>
    <font>
      <b/>
      <sz val="11.0"/>
      <color rgb="FF1F1F1F"/>
      <name val="Roboto"/>
    </font>
    <font/>
    <font>
      <sz val="10.0"/>
      <color theme="1"/>
      <name val="Roboto"/>
    </font>
    <font>
      <color theme="1"/>
      <name val="Arial"/>
      <scheme val="minor"/>
    </font>
    <font>
      <b/>
      <color theme="1"/>
      <name val="Roboto"/>
    </font>
    <font>
      <b/>
      <sz val="12.0"/>
      <color theme="1"/>
      <name val="Roboto"/>
    </font>
    <font>
      <sz val="60.0"/>
      <color theme="1"/>
      <name val="Arial"/>
      <scheme val="minor"/>
    </font>
    <font>
      <sz val="11.0"/>
      <color rgb="FF000000"/>
      <name val="Roboto"/>
    </font>
    <font>
      <b/>
      <color rgb="FF1F1F1F"/>
      <name val="Roboto"/>
    </font>
    <font>
      <b/>
      <sz val="60.0"/>
      <color theme="1"/>
      <name val="Roboto"/>
    </font>
    <font>
      <color rgb="FF1F1F1F"/>
      <name val="Roboto"/>
    </font>
    <font>
      <b/>
      <u/>
      <color rgb="FF0000FF"/>
      <name val="Roboto"/>
    </font>
    <font>
      <color theme="1"/>
      <name val="&quot;Google Sans Text&quot;"/>
    </font>
    <font>
      <b/>
      <color rgb="FF1F1F1F"/>
      <name val="&quot;Google Sans Text&quot;"/>
    </font>
    <font>
      <color rgb="FF1F1F1F"/>
      <name val="&quot;Google Sans Text&quot;"/>
    </font>
    <font>
      <sz val="11.0"/>
      <color rgb="FF1F1F1F"/>
      <name val="Roboto"/>
    </font>
    <font>
      <b/>
      <sz val="14.0"/>
      <color rgb="FF1F1F1F"/>
      <name val="Roboto"/>
    </font>
    <font>
      <sz val="11.0"/>
      <color rgb="FF000000"/>
      <name val="&quot;Google Sans Text&quot;"/>
    </font>
    <font>
      <b/>
      <sz val="11.0"/>
      <color theme="7"/>
      <name val="Roboto"/>
    </font>
    <font>
      <b/>
      <sz val="11.0"/>
      <color rgb="FFFF0000"/>
      <name val="Roboto"/>
    </font>
    <font>
      <b/>
      <sz val="11.0"/>
      <color theme="6"/>
      <name val="Roboto"/>
    </font>
  </fonts>
  <fills count="3">
    <fill>
      <patternFill patternType="none"/>
    </fill>
    <fill>
      <patternFill patternType="lightGray"/>
    </fill>
    <fill>
      <patternFill patternType="solid">
        <fgColor rgb="FF45818E"/>
        <bgColor rgb="FF45818E"/>
      </patternFill>
    </fill>
  </fills>
  <borders count="4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dotted">
        <color rgb="FF000000"/>
      </left>
      <top style="dotted">
        <color rgb="FF000000"/>
      </top>
      <bottom style="dotted">
        <color rgb="FF000000"/>
      </bottom>
    </border>
    <border>
      <right style="thin">
        <color rgb="FF000000"/>
      </right>
      <top style="dotted">
        <color rgb="FF000000"/>
      </top>
      <bottom style="dotted">
        <color rgb="FF000000"/>
      </bottom>
    </border>
    <border>
      <left style="hair">
        <color rgb="FF000000"/>
      </left>
      <top style="hair">
        <color rgb="FF000000"/>
      </top>
      <bottom style="hair">
        <color rgb="FF000000"/>
      </bottom>
    </border>
    <border>
      <right style="thin">
        <color rgb="FF000000"/>
      </right>
      <top style="hair">
        <color rgb="FF000000"/>
      </top>
      <bottom style="hair">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right style="hair">
        <color rgb="FF000000"/>
      </right>
    </border>
    <border>
      <left style="hair">
        <color rgb="FF000000"/>
      </left>
      <top style="double">
        <color rgb="FF000000"/>
      </top>
      <bottom style="double">
        <color rgb="FF000000"/>
      </bottom>
    </border>
    <border>
      <top style="double">
        <color rgb="FF000000"/>
      </top>
      <bottom style="double">
        <color rgb="FF000000"/>
      </bottom>
    </border>
    <border>
      <right style="hair">
        <color rgb="FF000000"/>
      </right>
      <bottom style="hair">
        <color rgb="FF000000"/>
      </bottom>
    </border>
    <border>
      <left style="hair">
        <color rgb="FF000000"/>
      </left>
      <right style="dotted">
        <color rgb="FF000000"/>
      </right>
      <bottom style="dotted">
        <color rgb="FF000000"/>
      </bottom>
    </border>
    <border>
      <left style="dotted">
        <color rgb="FF000000"/>
      </left>
      <right style="dotted">
        <color rgb="FF000000"/>
      </right>
      <bottom style="dotted">
        <color rgb="FF000000"/>
      </bottom>
    </border>
    <border>
      <left style="dotted">
        <color rgb="FF000000"/>
      </left>
      <right style="hair">
        <color rgb="FF000000"/>
      </right>
      <bottom style="dotted">
        <color rgb="FF000000"/>
      </bottom>
    </border>
    <border>
      <left style="hair">
        <color rgb="FF000000"/>
      </left>
      <right style="hair">
        <color rgb="FF000000"/>
      </right>
      <bottom style="hair">
        <color rgb="FF000000"/>
      </bottom>
    </border>
    <border>
      <left style="hair">
        <color rgb="FF000000"/>
      </left>
    </border>
    <border>
      <left style="hair">
        <color rgb="FF000000"/>
      </left>
      <bottom style="hair">
        <color rgb="FF000000"/>
      </bottom>
    </border>
    <border>
      <right style="hair">
        <color rgb="FF000000"/>
      </right>
      <top style="hair">
        <color rgb="FF000000"/>
      </top>
      <bottom style="hair">
        <color rgb="FF000000"/>
      </bottom>
    </border>
    <border>
      <left style="hair">
        <color rgb="FF000000"/>
      </left>
      <right style="dotted">
        <color rgb="FF000000"/>
      </right>
      <top style="dotted">
        <color rgb="FF000000"/>
      </top>
      <bottom style="dotted">
        <color rgb="FF000000"/>
      </bottom>
    </border>
    <border>
      <left style="dotted">
        <color rgb="FF000000"/>
      </left>
      <right style="hair">
        <color rgb="FF000000"/>
      </right>
      <top style="dotted">
        <color rgb="FF000000"/>
      </top>
      <bottom style="dotted">
        <color rgb="FF000000"/>
      </bottom>
    </border>
    <border>
      <left style="hair">
        <color rgb="FF000000"/>
      </left>
      <right style="hair">
        <color rgb="FF000000"/>
      </right>
      <top style="hair">
        <color rgb="FF000000"/>
      </top>
      <bottom style="hair">
        <color rgb="FF000000"/>
      </bottom>
    </border>
    <border>
      <right style="hair">
        <color rgb="FF000000"/>
      </right>
      <bottom style="thin">
        <color rgb="FF000000"/>
      </bottom>
    </border>
    <border>
      <left style="hair">
        <color rgb="FF000000"/>
      </left>
      <bottom style="thin">
        <color rgb="FF000000"/>
      </bottom>
    </border>
    <border>
      <bottom style="double">
        <color rgb="FF000000"/>
      </bottom>
    </border>
    <border>
      <right style="hair">
        <color rgb="FF000000"/>
      </right>
      <top style="hair">
        <color rgb="FF000000"/>
      </top>
    </border>
    <border>
      <left style="hair">
        <color rgb="FF000000"/>
      </left>
      <right style="dotted">
        <color rgb="FF000000"/>
      </right>
      <top style="dotted">
        <color rgb="FF000000"/>
      </top>
    </border>
    <border>
      <left style="dotted">
        <color rgb="FF000000"/>
      </left>
      <right style="dotted">
        <color rgb="FF000000"/>
      </right>
      <top style="dotted">
        <color rgb="FF000000"/>
      </top>
    </border>
    <border>
      <left style="dotted">
        <color rgb="FF000000"/>
      </left>
      <right style="hair">
        <color rgb="FF000000"/>
      </right>
      <top style="dotted">
        <color rgb="FF000000"/>
      </top>
    </border>
    <border>
      <left style="hair">
        <color rgb="FF000000"/>
      </left>
      <right style="hair">
        <color rgb="FF000000"/>
      </right>
      <top style="hair">
        <color rgb="FF000000"/>
      </top>
    </border>
    <border>
      <left style="hair">
        <color rgb="FF000000"/>
      </left>
      <top style="hair">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s>
  <cellStyleXfs count="1">
    <xf borderId="0" fillId="0" fontId="0" numFmtId="0" applyAlignment="1" applyFont="1"/>
  </cellStyleXfs>
  <cellXfs count="133">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Font="1"/>
    <xf borderId="0" fillId="0" fontId="3" numFmtId="0" xfId="0" applyAlignment="1" applyFont="1">
      <alignment horizontal="center" readingOrder="0" vertical="center"/>
    </xf>
    <xf borderId="0" fillId="0" fontId="4" numFmtId="0" xfId="0" applyAlignment="1" applyFont="1">
      <alignment shrinkToFit="0" wrapText="1"/>
    </xf>
    <xf borderId="0" fillId="0" fontId="4" numFmtId="0" xfId="0" applyAlignment="1" applyFont="1">
      <alignment horizontal="center" shrinkToFit="0" wrapText="1"/>
    </xf>
    <xf borderId="1" fillId="0" fontId="5" numFmtId="0" xfId="0" applyAlignment="1" applyBorder="1" applyFont="1">
      <alignment readingOrder="0"/>
    </xf>
    <xf borderId="0" fillId="0" fontId="6" numFmtId="0" xfId="0" applyAlignment="1" applyFont="1">
      <alignment readingOrder="0"/>
    </xf>
    <xf borderId="2" fillId="0" fontId="7" numFmtId="0" xfId="0" applyAlignment="1" applyBorder="1" applyFont="1">
      <alignment readingOrder="0" shrinkToFit="0" vertical="center" wrapText="1"/>
    </xf>
    <xf borderId="0" fillId="0" fontId="8" numFmtId="0" xfId="0" applyAlignment="1" applyFont="1">
      <alignment horizontal="center" readingOrder="0" vertical="center"/>
    </xf>
    <xf borderId="3" fillId="0" fontId="9" numFmtId="0" xfId="0" applyBorder="1" applyFont="1"/>
    <xf borderId="4" fillId="0" fontId="9" numFmtId="0" xfId="0" applyBorder="1" applyFont="1"/>
    <xf borderId="5" fillId="0" fontId="10" numFmtId="0" xfId="0" applyAlignment="1" applyBorder="1" applyFont="1">
      <alignment shrinkToFit="0" vertical="center" wrapText="1"/>
    </xf>
    <xf borderId="0" fillId="0" fontId="4" numFmtId="0" xfId="0" applyAlignment="1" applyFont="1">
      <alignment shrinkToFit="0" vertical="center" wrapText="1"/>
    </xf>
    <xf borderId="6" fillId="0" fontId="11" numFmtId="0" xfId="0" applyAlignment="1" applyBorder="1" applyFont="1">
      <alignment shrinkToFit="0" vertical="center" wrapText="1"/>
    </xf>
    <xf borderId="7" fillId="0" fontId="7" numFmtId="0" xfId="0" applyAlignment="1" applyBorder="1" applyFont="1">
      <alignment horizontal="right" readingOrder="0" shrinkToFit="0" vertical="center" wrapText="1"/>
    </xf>
    <xf borderId="1" fillId="0" fontId="12" numFmtId="0" xfId="0" applyAlignment="1" applyBorder="1" applyFont="1">
      <alignment readingOrder="0"/>
    </xf>
    <xf borderId="8" fillId="0" fontId="4" numFmtId="0" xfId="0" applyAlignment="1" applyBorder="1" applyFont="1">
      <alignment horizontal="left" readingOrder="0" shrinkToFit="0" vertical="center" wrapText="1"/>
    </xf>
    <xf borderId="9" fillId="0" fontId="4" numFmtId="0" xfId="0" applyAlignment="1" applyBorder="1" applyFont="1">
      <alignment horizontal="left" readingOrder="0" shrinkToFit="0" vertical="center" wrapText="1"/>
    </xf>
    <xf borderId="0" fillId="0" fontId="2" numFmtId="0" xfId="0" applyAlignment="1" applyFont="1">
      <alignment horizontal="left" readingOrder="0" shrinkToFit="0" vertical="center" wrapText="1"/>
    </xf>
    <xf borderId="10" fillId="0" fontId="9" numFmtId="0" xfId="0" applyBorder="1" applyFont="1"/>
    <xf borderId="0" fillId="0" fontId="12" numFmtId="0" xfId="0" applyAlignment="1" applyFont="1">
      <alignment horizontal="center" readingOrder="0"/>
    </xf>
    <xf borderId="1" fillId="0" fontId="7" numFmtId="0" xfId="0" applyAlignment="1" applyBorder="1" applyFont="1">
      <alignment horizontal="right" readingOrder="0" shrinkToFit="0" vertical="center" wrapText="1"/>
    </xf>
    <xf borderId="0" fillId="0" fontId="12" numFmtId="0" xfId="0" applyAlignment="1" applyFont="1">
      <alignment horizontal="center" readingOrder="0" shrinkToFit="0" wrapText="1"/>
    </xf>
    <xf borderId="2" fillId="0" fontId="4" numFmtId="0" xfId="0" applyAlignment="1" applyBorder="1" applyFont="1">
      <alignment readingOrder="0" shrinkToFit="0" vertical="center" wrapText="1"/>
    </xf>
    <xf borderId="0" fillId="0" fontId="13" numFmtId="0" xfId="0" applyAlignment="1" applyFont="1">
      <alignment horizontal="center" readingOrder="0" shrinkToFit="0" wrapText="1"/>
    </xf>
    <xf borderId="0" fillId="0" fontId="14" numFmtId="0" xfId="0" applyAlignment="1" applyFont="1">
      <alignment horizontal="center" readingOrder="0" vertical="center"/>
    </xf>
    <xf borderId="1" fillId="0" fontId="7" numFmtId="0" xfId="0" applyAlignment="1" applyBorder="1" applyFont="1">
      <alignment readingOrder="0" shrinkToFit="0" vertical="center" wrapText="1"/>
    </xf>
    <xf borderId="0" fillId="0" fontId="15" numFmtId="0" xfId="0" applyAlignment="1" applyFont="1">
      <alignment readingOrder="0" shrinkToFit="0" vertical="center" wrapText="1"/>
    </xf>
    <xf borderId="6" fillId="0" fontId="4" numFmtId="0" xfId="0" applyAlignment="1" applyBorder="1" applyFont="1">
      <alignment shrinkToFit="0" vertical="center" wrapText="1"/>
    </xf>
    <xf borderId="5" fillId="0" fontId="11" numFmtId="0" xfId="0" applyAlignment="1" applyBorder="1" applyFont="1">
      <alignment shrinkToFit="0" vertical="center" wrapText="1"/>
    </xf>
    <xf borderId="0" fillId="0" fontId="16" numFmtId="0" xfId="0" applyAlignment="1" applyFont="1">
      <alignment readingOrder="0" shrinkToFit="0" vertical="center" wrapText="1"/>
    </xf>
    <xf borderId="0" fillId="0" fontId="17" numFmtId="0" xfId="0" applyAlignment="1" applyFont="1">
      <alignment horizontal="center" readingOrder="0" vertical="center"/>
    </xf>
    <xf borderId="11" fillId="0" fontId="10" numFmtId="0" xfId="0" applyAlignment="1" applyBorder="1" applyFont="1">
      <alignment readingOrder="0" shrinkToFit="0" vertical="center" wrapText="1"/>
    </xf>
    <xf borderId="0" fillId="0" fontId="18" numFmtId="0" xfId="0" applyAlignment="1" applyFont="1">
      <alignment readingOrder="0" shrinkToFit="0" vertical="center" wrapText="1"/>
    </xf>
    <xf borderId="12" fillId="0" fontId="9" numFmtId="0" xfId="0" applyBorder="1" applyFont="1"/>
    <xf borderId="0" fillId="0" fontId="12" numFmtId="0" xfId="0" applyAlignment="1" applyFont="1">
      <alignment horizontal="center" readingOrder="0" shrinkToFit="0" vertical="center" wrapText="0"/>
    </xf>
    <xf borderId="13" fillId="0" fontId="4" numFmtId="0" xfId="0" applyAlignment="1" applyBorder="1" applyFont="1">
      <alignment shrinkToFit="0" vertical="center" wrapText="1"/>
    </xf>
    <xf borderId="14" fillId="0" fontId="4" numFmtId="0" xfId="0" applyAlignment="1" applyBorder="1" applyFont="1">
      <alignment shrinkToFit="0" vertical="center" wrapText="1"/>
    </xf>
    <xf borderId="15" fillId="0" fontId="4" numFmtId="0" xfId="0" applyAlignment="1" applyBorder="1" applyFont="1">
      <alignment shrinkToFit="0" vertical="center" wrapText="1"/>
    </xf>
    <xf borderId="0" fillId="0" fontId="16" numFmtId="0" xfId="0" applyAlignment="1" applyFont="1">
      <alignment readingOrder="0"/>
    </xf>
    <xf borderId="0" fillId="0" fontId="19" numFmtId="0" xfId="0" applyAlignment="1" applyFont="1">
      <alignment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horizontal="left" readingOrder="0" shrinkToFit="0" vertical="center" wrapText="1"/>
    </xf>
    <xf borderId="16" fillId="0" fontId="4" numFmtId="0" xfId="0" applyAlignment="1" applyBorder="1" applyFont="1">
      <alignment readingOrder="0" shrinkToFit="0" vertical="center" wrapText="1"/>
    </xf>
    <xf borderId="0" fillId="0" fontId="20" numFmtId="0" xfId="0" applyAlignment="1" applyFont="1">
      <alignment horizontal="left" readingOrder="0" shrinkToFit="0" vertical="center" wrapText="1"/>
    </xf>
    <xf borderId="17" fillId="2" fontId="4" numFmtId="0" xfId="0" applyAlignment="1" applyBorder="1" applyFill="1" applyFont="1">
      <alignment shrinkToFit="0" vertical="center" wrapText="1"/>
    </xf>
    <xf borderId="18" fillId="2" fontId="4" numFmtId="0" xfId="0" applyAlignment="1" applyBorder="1" applyFont="1">
      <alignment shrinkToFit="0" vertical="center" wrapText="1"/>
    </xf>
    <xf borderId="19" fillId="0" fontId="16" numFmtId="0" xfId="0" applyAlignment="1" applyBorder="1" applyFont="1">
      <alignment horizontal="center" readingOrder="0" shrinkToFit="0" vertical="center" wrapText="1"/>
    </xf>
    <xf borderId="0" fillId="0" fontId="4" numFmtId="0" xfId="0" applyAlignment="1" applyFont="1">
      <alignment shrinkToFit="0" vertical="center" wrapText="1"/>
    </xf>
    <xf borderId="0" fillId="0" fontId="11" numFmtId="0" xfId="0" applyFont="1"/>
    <xf borderId="20" fillId="0" fontId="18" numFmtId="0" xfId="0" applyAlignment="1" applyBorder="1" applyFont="1">
      <alignment readingOrder="0" shrinkToFit="0" vertical="center" wrapText="1"/>
    </xf>
    <xf borderId="21" fillId="0" fontId="18" numFmtId="0" xfId="0" applyAlignment="1" applyBorder="1" applyFont="1">
      <alignment readingOrder="0" shrinkToFit="0" vertical="center" wrapText="1"/>
    </xf>
    <xf borderId="0" fillId="0" fontId="21" numFmtId="0" xfId="0" applyAlignment="1" applyFont="1">
      <alignment readingOrder="0" shrinkToFit="0" vertical="center" wrapText="1"/>
    </xf>
    <xf borderId="0" fillId="0" fontId="21" numFmtId="0" xfId="0" applyAlignment="1" applyFont="1">
      <alignment readingOrder="0" shrinkToFit="0" vertical="center" wrapText="1"/>
    </xf>
    <xf borderId="21" fillId="0" fontId="16" numFmtId="0" xfId="0" applyAlignment="1" applyBorder="1" applyFont="1">
      <alignment readingOrder="0" shrinkToFit="0" vertical="center" wrapText="1"/>
    </xf>
    <xf borderId="0" fillId="0" fontId="22" numFmtId="0" xfId="0" applyAlignment="1" applyFont="1">
      <alignment readingOrder="0" shrinkToFit="0" vertical="center" wrapText="1"/>
    </xf>
    <xf borderId="22" fillId="0" fontId="18" numFmtId="0" xfId="0" applyAlignment="1" applyBorder="1" applyFont="1">
      <alignment readingOrder="0" shrinkToFit="0" vertical="center" wrapText="1"/>
    </xf>
    <xf borderId="23" fillId="0" fontId="23" numFmtId="0" xfId="0" applyAlignment="1" applyBorder="1" applyFont="1">
      <alignment horizontal="center" readingOrder="0" shrinkToFit="0" vertical="center" wrapText="1"/>
    </xf>
    <xf borderId="24" fillId="0" fontId="4" numFmtId="0" xfId="0" applyAlignment="1" applyBorder="1" applyFont="1">
      <alignment shrinkToFit="0" vertical="center" wrapText="1"/>
    </xf>
    <xf borderId="25" fillId="0" fontId="16" numFmtId="0" xfId="0" applyAlignment="1" applyBorder="1" applyFont="1">
      <alignment horizontal="center" readingOrder="0" shrinkToFit="0" vertical="center" wrapText="1"/>
    </xf>
    <xf borderId="26" fillId="0" fontId="16" numFmtId="0" xfId="0" applyAlignment="1" applyBorder="1" applyFont="1">
      <alignment horizontal="center" readingOrder="0" shrinkToFit="0" vertical="center" wrapText="1"/>
    </xf>
    <xf borderId="27" fillId="0" fontId="18" numFmtId="0" xfId="0" applyAlignment="1" applyBorder="1" applyFont="1">
      <alignment readingOrder="0" shrinkToFit="0" vertical="center" wrapText="1"/>
    </xf>
    <xf borderId="8" fillId="0" fontId="18" numFmtId="0" xfId="0" applyAlignment="1" applyBorder="1" applyFont="1">
      <alignment readingOrder="0" shrinkToFit="0" vertical="center" wrapText="1"/>
    </xf>
    <xf borderId="8" fillId="0" fontId="16" numFmtId="0" xfId="0" applyAlignment="1" applyBorder="1" applyFont="1">
      <alignment readingOrder="0" shrinkToFit="0" vertical="center" wrapText="1"/>
    </xf>
    <xf borderId="28" fillId="0" fontId="18" numFmtId="0" xfId="0" applyAlignment="1" applyBorder="1" applyFont="1">
      <alignment readingOrder="0" shrinkToFit="0" vertical="center" wrapText="1"/>
    </xf>
    <xf borderId="29" fillId="0" fontId="23" numFmtId="0" xfId="0" applyAlignment="1" applyBorder="1" applyFont="1">
      <alignment horizontal="center" readingOrder="0" shrinkToFit="0" vertical="center" wrapText="1"/>
    </xf>
    <xf borderId="11" fillId="0" fontId="16" numFmtId="0" xfId="0" applyAlignment="1" applyBorder="1" applyFont="1">
      <alignment horizontal="center" readingOrder="0" shrinkToFit="0" vertical="center" wrapText="1"/>
    </xf>
    <xf borderId="0" fillId="0" fontId="12" numFmtId="0" xfId="0" applyAlignment="1" applyFont="1">
      <alignment readingOrder="0"/>
    </xf>
    <xf borderId="30" fillId="0" fontId="4" numFmtId="0" xfId="0" applyAlignment="1" applyBorder="1" applyFont="1">
      <alignment readingOrder="0" shrinkToFit="0" vertical="center" wrapText="1"/>
    </xf>
    <xf borderId="31" fillId="0" fontId="4" numFmtId="0" xfId="0" applyAlignment="1" applyBorder="1" applyFont="1">
      <alignment shrinkToFit="0" vertical="center" wrapText="1"/>
    </xf>
    <xf borderId="14" fillId="0" fontId="4" numFmtId="0" xfId="0" applyAlignment="1" applyBorder="1" applyFont="1">
      <alignment shrinkToFit="0" vertical="center" wrapText="1"/>
    </xf>
    <xf borderId="32" fillId="2" fontId="4" numFmtId="0" xfId="0" applyAlignment="1" applyBorder="1" applyFont="1">
      <alignment shrinkToFit="0" vertical="center" wrapText="1"/>
    </xf>
    <xf borderId="5" fillId="0" fontId="4" numFmtId="0" xfId="0" applyAlignment="1" applyBorder="1" applyFont="1">
      <alignment shrinkToFit="0" vertical="center" wrapText="1"/>
    </xf>
    <xf borderId="0" fillId="0" fontId="4" numFmtId="0" xfId="0" applyFont="1"/>
    <xf borderId="0" fillId="0" fontId="13" numFmtId="0" xfId="0" applyAlignment="1" applyFont="1">
      <alignment horizontal="center" readingOrder="0"/>
    </xf>
    <xf borderId="0" fillId="0" fontId="18" numFmtId="0" xfId="0" applyAlignment="1" applyFont="1">
      <alignment horizontal="center" readingOrder="0" shrinkToFit="0" vertical="center" wrapText="1"/>
    </xf>
    <xf borderId="33" fillId="0" fontId="16" numFmtId="0" xfId="0" applyAlignment="1" applyBorder="1" applyFont="1">
      <alignment horizontal="center" readingOrder="0" shrinkToFit="0" vertical="center" wrapText="1"/>
    </xf>
    <xf borderId="34" fillId="0" fontId="18" numFmtId="0" xfId="0" applyAlignment="1" applyBorder="1" applyFont="1">
      <alignment readingOrder="0" shrinkToFit="0" vertical="center" wrapText="1"/>
    </xf>
    <xf borderId="35" fillId="0" fontId="18" numFmtId="0" xfId="0" applyAlignment="1" applyBorder="1" applyFont="1">
      <alignment readingOrder="0" shrinkToFit="0" vertical="center" wrapText="1"/>
    </xf>
    <xf borderId="35" fillId="0" fontId="16" numFmtId="0" xfId="0" applyAlignment="1" applyBorder="1" applyFont="1">
      <alignment readingOrder="0" shrinkToFit="0" vertical="center" wrapText="1"/>
    </xf>
    <xf borderId="36" fillId="0" fontId="18" numFmtId="0" xfId="0" applyAlignment="1" applyBorder="1" applyFont="1">
      <alignment readingOrder="0" shrinkToFit="0" vertical="center" wrapText="1"/>
    </xf>
    <xf borderId="37" fillId="0" fontId="23" numFmtId="0" xfId="0" applyAlignment="1" applyBorder="1" applyFont="1">
      <alignment horizontal="center" readingOrder="0" shrinkToFit="0" vertical="center" wrapText="1"/>
    </xf>
    <xf borderId="38" fillId="0" fontId="16" numFmtId="0" xfId="0" applyAlignment="1" applyBorder="1" applyFont="1">
      <alignment horizontal="center" readingOrder="0" shrinkToFit="0" vertical="center" wrapText="1"/>
    </xf>
    <xf borderId="2" fillId="0" fontId="4" numFmtId="0" xfId="0" applyAlignment="1" applyBorder="1" applyFont="1">
      <alignment horizontal="center" shrinkToFit="0" wrapText="1"/>
    </xf>
    <xf borderId="3" fillId="0" fontId="4" numFmtId="0" xfId="0" applyAlignment="1" applyBorder="1" applyFont="1">
      <alignment shrinkToFit="0" wrapText="1"/>
    </xf>
    <xf borderId="3" fillId="0" fontId="4" numFmtId="0" xfId="0" applyAlignment="1" applyBorder="1" applyFont="1">
      <alignment horizontal="center" shrinkToFit="0" wrapText="1"/>
    </xf>
    <xf borderId="4" fillId="0" fontId="4" numFmtId="0" xfId="0" applyAlignment="1" applyBorder="1" applyFont="1">
      <alignment horizontal="center" shrinkToFit="0" wrapText="1"/>
    </xf>
    <xf borderId="0" fillId="0" fontId="4" numFmtId="0" xfId="0" applyAlignment="1" applyFont="1">
      <alignment horizontal="center" shrinkToFit="0" vertical="center" wrapText="1"/>
    </xf>
    <xf borderId="0" fillId="0" fontId="24" numFmtId="0" xfId="0" applyAlignment="1" applyFont="1">
      <alignment horizontal="center" readingOrder="0" vertical="center"/>
    </xf>
    <xf borderId="0" fillId="0" fontId="22" numFmtId="0" xfId="0" applyAlignment="1" applyFont="1">
      <alignment horizontal="center" readingOrder="0"/>
    </xf>
    <xf borderId="0" fillId="0" fontId="22" numFmtId="0" xfId="0" applyAlignment="1" applyFont="1">
      <alignment readingOrder="0"/>
    </xf>
    <xf borderId="0" fillId="0" fontId="21" numFmtId="0" xfId="0" applyAlignment="1" applyFont="1">
      <alignment horizontal="center" readingOrder="0"/>
    </xf>
    <xf borderId="0" fillId="0" fontId="25" numFmtId="0" xfId="0" applyAlignment="1" applyFont="1">
      <alignment readingOrder="0"/>
    </xf>
    <xf borderId="0" fillId="0" fontId="21" numFmtId="0" xfId="0" applyAlignment="1" applyFont="1">
      <alignment readingOrder="0"/>
    </xf>
    <xf borderId="0" fillId="0" fontId="21" numFmtId="3" xfId="0" applyAlignment="1" applyFont="1" applyNumberFormat="1">
      <alignment readingOrder="0"/>
    </xf>
    <xf borderId="39" fillId="0" fontId="16" numFmtId="0" xfId="0" applyAlignment="1" applyBorder="1" applyFont="1">
      <alignment readingOrder="0" shrinkToFit="0" vertical="center" wrapText="1"/>
    </xf>
    <xf borderId="0" fillId="0" fontId="11" numFmtId="0" xfId="0" applyAlignment="1" applyFont="1">
      <alignment readingOrder="0"/>
    </xf>
    <xf borderId="0" fillId="0" fontId="4" numFmtId="0" xfId="0" applyAlignment="1" applyFont="1">
      <alignment readingOrder="0"/>
    </xf>
    <xf borderId="0" fillId="0" fontId="20" numFmtId="0" xfId="0" applyAlignment="1" applyFont="1">
      <alignment readingOrder="0"/>
    </xf>
    <xf borderId="0" fillId="0" fontId="26" numFmtId="0" xfId="0" applyAlignment="1" applyFont="1">
      <alignment readingOrder="0" shrinkToFit="0" vertical="center" wrapText="1"/>
    </xf>
    <xf borderId="0" fillId="0" fontId="20" numFmtId="0" xfId="0" applyAlignment="1" applyFont="1">
      <alignment horizontal="center" readingOrder="0" vertical="center"/>
    </xf>
    <xf borderId="0" fillId="0" fontId="27" numFmtId="0" xfId="0" applyAlignment="1" applyFont="1">
      <alignment readingOrder="0" shrinkToFit="0" vertical="center" wrapText="1"/>
    </xf>
    <xf borderId="0" fillId="0" fontId="20" numFmtId="0" xfId="0" applyAlignment="1" applyFont="1">
      <alignment horizontal="center" readingOrder="0"/>
    </xf>
    <xf borderId="0" fillId="0" fontId="28" numFmtId="0" xfId="0" applyAlignment="1" applyFont="1">
      <alignment readingOrder="0" shrinkToFit="0" vertical="center" wrapText="1"/>
    </xf>
    <xf borderId="0" fillId="0" fontId="20" numFmtId="0" xfId="0" applyAlignment="1" applyFont="1">
      <alignment horizontal="left" readingOrder="0" shrinkToFit="0" vertical="center" wrapText="0"/>
    </xf>
    <xf borderId="0" fillId="0" fontId="20" numFmtId="0" xfId="0" applyAlignment="1" applyFont="1">
      <alignment horizontal="center" readingOrder="0" shrinkToFit="0" vertical="center" wrapText="0"/>
    </xf>
    <xf borderId="0" fillId="0" fontId="21" numFmtId="0" xfId="0" applyAlignment="1" applyFont="1">
      <alignment readingOrder="0" shrinkToFit="0" vertical="center" wrapText="0"/>
    </xf>
    <xf borderId="0" fillId="0" fontId="22" numFmtId="3" xfId="0" applyAlignment="1" applyFont="1" applyNumberFormat="1">
      <alignment readingOrder="0" shrinkToFit="0" vertical="center" wrapText="0"/>
    </xf>
    <xf borderId="0" fillId="0" fontId="22" numFmtId="0" xfId="0" applyAlignment="1" applyFont="1">
      <alignment readingOrder="0" shrinkToFit="0" vertical="center" wrapText="0"/>
    </xf>
    <xf borderId="0" fillId="0" fontId="22" numFmtId="9" xfId="0" applyAlignment="1" applyFont="1" applyNumberFormat="1">
      <alignment horizontal="center" readingOrder="0" shrinkToFit="0" vertical="center" wrapText="0"/>
    </xf>
    <xf borderId="0" fillId="0" fontId="22" numFmtId="0" xfId="0" applyAlignment="1" applyFont="1">
      <alignment horizontal="center" readingOrder="0" shrinkToFit="0" vertical="center" wrapText="0"/>
    </xf>
    <xf borderId="0" fillId="0" fontId="21" numFmtId="3" xfId="0" applyAlignment="1" applyFont="1" applyNumberFormat="1">
      <alignment readingOrder="0" shrinkToFit="0" vertical="center" wrapText="0"/>
    </xf>
    <xf borderId="0" fillId="0" fontId="22" numFmtId="0" xfId="0" applyAlignment="1" applyFont="1">
      <alignment readingOrder="0" shrinkToFit="0" vertical="center" wrapText="1"/>
    </xf>
    <xf borderId="40" fillId="0" fontId="21" numFmtId="0" xfId="0" applyAlignment="1" applyBorder="1" applyFont="1">
      <alignment readingOrder="0" shrinkToFit="0" vertical="center" wrapText="0"/>
    </xf>
    <xf borderId="39" fillId="0" fontId="22" numFmtId="0" xfId="0" applyAlignment="1" applyBorder="1" applyFont="1">
      <alignment shrinkToFit="0" vertical="center" wrapText="0"/>
    </xf>
    <xf borderId="39" fillId="0" fontId="22" numFmtId="0" xfId="0" applyAlignment="1" applyBorder="1" applyFont="1">
      <alignment horizontal="center" shrinkToFit="0" vertical="center" wrapText="0"/>
    </xf>
    <xf borderId="41" fillId="0" fontId="21" numFmtId="0" xfId="0" applyAlignment="1" applyBorder="1" applyFont="1">
      <alignment horizontal="center" readingOrder="0" shrinkToFit="0" vertical="center" wrapText="0"/>
    </xf>
    <xf borderId="42" fillId="0" fontId="21" numFmtId="3" xfId="0" applyAlignment="1" applyBorder="1" applyFont="1" applyNumberFormat="1">
      <alignment readingOrder="0" shrinkToFit="0" vertical="center" wrapText="0"/>
    </xf>
    <xf borderId="0" fillId="0" fontId="11" numFmtId="0" xfId="0" applyAlignment="1" applyFont="1">
      <alignment horizontal="center" vertical="center"/>
    </xf>
    <xf borderId="0" fillId="0" fontId="11" numFmtId="0" xfId="0" applyAlignment="1" applyFont="1">
      <alignment horizontal="center"/>
    </xf>
    <xf borderId="0" fillId="0" fontId="13" numFmtId="0" xfId="0" applyAlignment="1" applyFont="1">
      <alignment horizontal="left" readingOrder="0" shrinkToFit="0" wrapText="1"/>
    </xf>
    <xf borderId="2" fillId="0" fontId="12" numFmtId="0" xfId="0" applyAlignment="1" applyBorder="1" applyFont="1">
      <alignment readingOrder="0"/>
    </xf>
    <xf borderId="42" fillId="0" fontId="4" numFmtId="0" xfId="0" applyAlignment="1" applyBorder="1" applyFont="1">
      <alignment horizontal="left" readingOrder="0" shrinkToFit="0" wrapText="1"/>
    </xf>
    <xf borderId="39" fillId="0" fontId="9" numFmtId="0" xfId="0" applyBorder="1" applyFont="1"/>
    <xf borderId="40" fillId="0" fontId="9" numFmtId="0" xfId="0" applyBorder="1" applyFont="1"/>
    <xf borderId="4" fillId="0" fontId="4" numFmtId="0" xfId="0" applyAlignment="1" applyBorder="1" applyFont="1">
      <alignment shrinkToFit="0" wrapText="1"/>
    </xf>
    <xf borderId="13" fillId="0" fontId="4" numFmtId="0" xfId="0" applyAlignment="1" applyBorder="1" applyFont="1">
      <alignment horizontal="left" readingOrder="0" shrinkToFit="0" wrapText="1"/>
    </xf>
    <xf borderId="15" fillId="0" fontId="9" numFmtId="0" xfId="0" applyBorder="1" applyFont="1"/>
    <xf borderId="13" fillId="0" fontId="4" numFmtId="0" xfId="0" applyAlignment="1" applyBorder="1" applyFont="1">
      <alignment horizontal="left" readingOrder="0" shrinkToFit="0" vertical="center" wrapText="1"/>
    </xf>
    <xf borderId="0" fillId="0" fontId="4" numFmtId="0" xfId="0" applyAlignment="1" applyFont="1">
      <alignment horizontal="center" readingOrder="0" shrinkToFit="0" vertical="center" wrapText="1"/>
    </xf>
    <xf borderId="2" fillId="0" fontId="4" numFmtId="0" xfId="0" applyAlignment="1" applyBorder="1" applyFont="1">
      <alignment horizontal="left" readingOrder="0" shrinkToFit="0" wrapText="1"/>
    </xf>
    <xf borderId="2" fillId="0" fontId="4" numFmtId="0" xfId="0" applyAlignment="1" applyBorder="1" applyFont="1">
      <alignment horizontal="left" readingOrder="0" shrinkToFit="0" vertical="center" wrapText="1"/>
    </xf>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4A568D"/>
          <bgColor rgb="FF4A568D"/>
        </patternFill>
      </fill>
      <border/>
    </dxf>
    <dxf>
      <font/>
      <fill>
        <patternFill patternType="solid">
          <fgColor rgb="FFF6F8F9"/>
          <bgColor rgb="FFF6F8F9"/>
        </patternFill>
      </fill>
      <border/>
    </dxf>
    <dxf>
      <border>
        <left style="thin">
          <color rgb="FF4A568D"/>
        </left>
        <right style="thin">
          <color rgb="FF4A568D"/>
        </right>
        <top style="thin">
          <color rgb="FF4A568D"/>
        </top>
        <bottom style="thin">
          <color rgb="FF4A568D"/>
        </bottom>
      </border>
    </dxf>
    <dxf>
      <font/>
      <fill>
        <patternFill patternType="solid">
          <fgColor rgb="FF9B3642"/>
          <bgColor rgb="FF9B3642"/>
        </patternFill>
      </fill>
      <border/>
    </dxf>
  </dxfs>
  <tableStyles count="9">
    <tableStyle count="4" pivot="0" name="Task2_Wireframes-style">
      <tableStyleElement dxfId="3" type="headerRow"/>
      <tableStyleElement dxfId="2" type="firstRowStripe"/>
      <tableStyleElement dxfId="4" type="secondRowStripe"/>
      <tableStyleElement dxfId="5" size="0" type="wholeTable"/>
    </tableStyle>
    <tableStyle count="4" pivot="0" name="Task1_UserStories-style">
      <tableStyleElement dxfId="1" type="headerRow"/>
      <tableStyleElement dxfId="2" type="firstRowStripe"/>
      <tableStyleElement dxfId="4" type="secondRowStripe"/>
      <tableStyleElement dxfId="5" size="0" type="wholeTable"/>
    </tableStyle>
    <tableStyle count="4" pivot="0" name="Overview-style">
      <tableStyleElement dxfId="1" type="headerRow"/>
      <tableStyleElement dxfId="2" type="firstRowStripe"/>
      <tableStyleElement dxfId="4" type="secondRowStripe"/>
      <tableStyleElement dxfId="5" size="0" type="wholeTable"/>
    </tableStyle>
    <tableStyle count="4" pivot="0" name="Task3_ProjectTimeline-style">
      <tableStyleElement dxfId="6" type="headerRow"/>
      <tableStyleElement dxfId="2" type="firstRowStripe"/>
      <tableStyleElement dxfId="4" type="secondRowStripe"/>
      <tableStyleElement dxfId="5" size="0" type="wholeTable"/>
    </tableStyle>
    <tableStyle count="4" pivot="0" name="Task3_ProjectTimeline-style 2">
      <tableStyleElement dxfId="1" type="headerRow"/>
      <tableStyleElement dxfId="2" type="firstRowStripe"/>
      <tableStyleElement dxfId="4" type="secondRowStripe"/>
      <tableStyleElement dxfId="5" size="0" type="wholeTable"/>
    </tableStyle>
    <tableStyle count="4" pivot="0" name="Task3_ProjectTimeline-style 3">
      <tableStyleElement dxfId="1" type="headerRow"/>
      <tableStyleElement dxfId="2" type="firstRowStripe"/>
      <tableStyleElement dxfId="4" type="secondRowStripe"/>
      <tableStyleElement dxfId="5" size="0" type="wholeTable"/>
    </tableStyle>
    <tableStyle count="4" pivot="0" name="Task5_CompetitorAnalysis-style">
      <tableStyleElement dxfId="3" type="headerRow"/>
      <tableStyleElement dxfId="2" type="firstRowStripe"/>
      <tableStyleElement dxfId="4" type="secondRowStripe"/>
      <tableStyleElement dxfId="5" size="0" type="wholeTable"/>
    </tableStyle>
    <tableStyle count="4" pivot="0" name="Task4_CostEstimation-style">
      <tableStyleElement dxfId="1" type="headerRow"/>
      <tableStyleElement dxfId="2" type="firstRowStripe"/>
      <tableStyleElement dxfId="4" type="secondRowStripe"/>
      <tableStyleElement dxfId="5" size="0" type="wholeTable"/>
    </tableStyle>
    <tableStyle count="4" pivot="0" name="Task5_CompetitorAnalysis-style 2">
      <tableStyleElement dxfId="1" type="headerRow"/>
      <tableStyleElement dxfId="2" type="firstRowStripe"/>
      <tableStyleElement dxfId="4" type="secondRowStripe"/>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5:E11" displayName="Overview" name="Overview" id="3">
  <tableColumns count="4">
    <tableColumn name="Tab Name" id="1"/>
    <tableColumn name="Task / Module" id="2"/>
    <tableColumn name="Key Focus &amp; Deliverables" id="3"/>
    <tableColumn name="Core Metrics &amp; Outputs" id="4"/>
  </tableColumns>
  <tableStyleInfo name="Overview-style" showColumnStripes="0" showFirstColumn="1" showLastColumn="1" showRowStripes="1"/>
</table>
</file>

<file path=xl/tables/table2.xml><?xml version="1.0" encoding="utf-8"?>
<table xmlns="http://schemas.openxmlformats.org/spreadsheetml/2006/main" ref="B17:H27" displayName="Task1" name="Task1" id="2">
  <tableColumns count="7">
    <tableColumn name="Story ID" id="1"/>
    <tableColumn name="Epic (Module)" id="2"/>
    <tableColumn name="User Role" id="3"/>
    <tableColumn name="User Story " id="4"/>
    <tableColumn name="Acceptance Criteria" id="5"/>
    <tableColumn name="Priority" id="6"/>
    <tableColumn name="Story Points " id="7"/>
  </tableColumns>
  <tableStyleInfo name="Task1_UserStories-style" showColumnStripes="0" showFirstColumn="1" showLastColumn="1" showRowStripes="1"/>
</table>
</file>

<file path=xl/tables/table3.xml><?xml version="1.0" encoding="utf-8"?>
<table xmlns="http://schemas.openxmlformats.org/spreadsheetml/2006/main" ref="B16:G26" displayName="Task2" name="Task2" id="1">
  <tableColumns count="6">
    <tableColumn name="Component ID" id="1"/>
    <tableColumn name="Screen Name" id="2"/>
    <tableColumn name="Layout Area" id="3"/>
    <tableColumn name="UI Element / Feature" id="4"/>
    <tableColumn name="Functional Description" id="5"/>
    <tableColumn name="Interaction &amp; State Notes" id="6"/>
  </tableColumns>
  <tableStyleInfo name="Task2_Wireframes-style" showColumnStripes="0" showFirstColumn="1" showLastColumn="1" showRowStripes="1"/>
</table>
</file>

<file path=xl/tables/table4.xml><?xml version="1.0" encoding="utf-8"?>
<table xmlns="http://schemas.openxmlformats.org/spreadsheetml/2006/main" ref="I4:Q11" displayName="Task3.3" name="Task3.3" id="4">
  <tableColumns count="9">
    <tableColumn name="Phase Name" id="1"/>
    <tableColumn name="Week 1" id="2"/>
    <tableColumn name="Week 2" id="3"/>
    <tableColumn name="Week 3" id="4"/>
    <tableColumn name="Week 4" id="5"/>
    <tableColumn name="Week 5" id="6"/>
    <tableColumn name="Week 6" id="7"/>
    <tableColumn name="Week 7" id="8"/>
    <tableColumn name="Week 8" id="9"/>
  </tableColumns>
  <tableStyleInfo name="Task3_ProjectTimeline-style" showColumnStripes="0" showFirstColumn="1" showLastColumn="1" showRowStripes="1"/>
</table>
</file>

<file path=xl/tables/table5.xml><?xml version="1.0" encoding="utf-8"?>
<table xmlns="http://schemas.openxmlformats.org/spreadsheetml/2006/main" ref="B20:F25" displayName="Task3.1" name="Task3.1" id="5">
  <tableColumns count="5">
    <tableColumn name="Role Title" id="1"/>
    <tableColumn name="Headcount" id="2"/>
    <tableColumn name="Allocated Time" id="3"/>
    <tableColumn name="Core Responsibilities" id="4"/>
    <tableColumn name="Key Deliverables" id="5"/>
  </tableColumns>
  <tableStyleInfo name="Task3_ProjectTimeline-style 2" showColumnStripes="0" showFirstColumn="1" showLastColumn="1" showRowStripes="1"/>
</table>
</file>

<file path=xl/tables/table6.xml><?xml version="1.0" encoding="utf-8"?>
<table xmlns="http://schemas.openxmlformats.org/spreadsheetml/2006/main" ref="B29:H36" displayName="Task3.2" name="Task3.2" id="6">
  <tableColumns count="7">
    <tableColumn name="Phase #" id="1"/>
    <tableColumn name="Phase / Milestone Name" id="2"/>
    <tableColumn name="Key Activities &amp; Tasks" id="3"/>
    <tableColumn name="Assigned Roles" id="4"/>
    <tableColumn name="Man-Hour Estimation" id="5"/>
    <tableColumn name="Duration (Days)" id="6"/>
    <tableColumn name="Target Schedule" id="7"/>
  </tableColumns>
  <tableStyleInfo name="Task3_ProjectTimeline-style 3" showColumnStripes="0" showFirstColumn="1" showLastColumn="1" showRowStripes="1"/>
</table>
</file>

<file path=xl/tables/table7.xml><?xml version="1.0" encoding="utf-8"?>
<table xmlns="http://schemas.openxmlformats.org/spreadsheetml/2006/main" ref="B18:H24" displayName="Table1" name="Table1" id="7">
  <tableColumns count="7">
    <tableColumn name="Role Title" id="1"/>
    <tableColumn name="Monthly Rate" id="2"/>
    <tableColumn name="Project Duration" id="3"/>
    <tableColumn name="Resource Allocation (%)" id="4"/>
    <tableColumn name="Allocated Months" id="5"/>
    <tableColumn name="Total Cost Calculation" id="6"/>
    <tableColumn name="Total Line Cost" id="7"/>
  </tableColumns>
  <tableStyleInfo name="Task4_CostEstimation-style" showColumnStripes="0" showFirstColumn="1" showLastColumn="1" showRowStripes="1"/>
</table>
</file>

<file path=xl/tables/table8.xml><?xml version="1.0" encoding="utf-8"?>
<table xmlns="http://schemas.openxmlformats.org/spreadsheetml/2006/main" ref="B16:F22" displayName="Task5.1" name="Task5.1" id="8">
  <tableColumns count="5">
    <tableColumn name="Feature / Capability" id="1"/>
    <tableColumn name="Proposed System" id="2"/>
    <tableColumn name="Tawk.to" id="3"/>
    <tableColumn name="Chatbase / CustomGPT" id="4"/>
    <tableColumn name="Crisp / Intercom" id="5"/>
  </tableColumns>
  <tableStyleInfo name="Task5_CompetitorAnalysis-style" showColumnStripes="0" showFirstColumn="1" showLastColumn="1" showRowStripes="1"/>
</table>
</file>

<file path=xl/tables/table9.xml><?xml version="1.0" encoding="utf-8"?>
<table xmlns="http://schemas.openxmlformats.org/spreadsheetml/2006/main" ref="B26:F30" displayName="Task5.2" name="Task5.2" id="9">
  <tableColumns count="5">
    <tableColumn name="Feature" id="1"/>
    <tableColumn name="Proposed Feature" id="2"/>
    <tableColumn name="Category" id="3"/>
    <tableColumn name="Description &amp; User Value" id="4"/>
    <tableColumn name="Strategic Impact &amp; ROI" id="5"/>
  </tableColumns>
  <tableStyleInfo name="Task5_CompetitorAnalysi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5" Type="http://schemas.openxmlformats.org/officeDocument/2006/relationships/table" Target="../tables/table4.xml"/><Relationship Id="rId6" Type="http://schemas.openxmlformats.org/officeDocument/2006/relationships/table" Target="../tables/table5.xml"/><Relationship Id="rId7"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7.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8.xml"/><Relationship Id="rId5"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20.5"/>
    <col customWidth="1" min="3" max="3" width="20.13"/>
    <col customWidth="1" min="4" max="4" width="44.13"/>
    <col customWidth="1" min="5" max="5" width="37.25"/>
  </cols>
  <sheetData>
    <row r="1">
      <c r="A1" s="2"/>
      <c r="B1" s="2"/>
      <c r="C1" s="2"/>
      <c r="D1" s="2"/>
      <c r="E1" s="2"/>
      <c r="F1" s="2"/>
      <c r="G1" s="2"/>
      <c r="H1" s="2"/>
      <c r="I1" s="2"/>
      <c r="J1" s="2"/>
      <c r="K1" s="2"/>
      <c r="L1" s="2"/>
      <c r="M1" s="2"/>
      <c r="N1" s="2"/>
      <c r="O1" s="2"/>
      <c r="P1" s="2"/>
      <c r="Q1" s="2"/>
      <c r="R1" s="2"/>
      <c r="S1" s="2"/>
      <c r="T1" s="2"/>
      <c r="U1" s="2"/>
      <c r="V1" s="2"/>
      <c r="W1" s="2"/>
      <c r="X1" s="2"/>
      <c r="Y1" s="2"/>
      <c r="Z1" s="2"/>
    </row>
    <row r="2">
      <c r="A2" s="2"/>
      <c r="B2" s="7" t="s">
        <v>3</v>
      </c>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ht="22.5" customHeight="1">
      <c r="A5" s="2"/>
      <c r="B5" s="19" t="s">
        <v>8</v>
      </c>
      <c r="C5" s="19" t="s">
        <v>11</v>
      </c>
      <c r="D5" s="19" t="s">
        <v>12</v>
      </c>
      <c r="E5" s="19" t="s">
        <v>15</v>
      </c>
      <c r="F5" s="2"/>
      <c r="G5" s="2"/>
      <c r="H5" s="2"/>
      <c r="I5" s="2"/>
      <c r="J5" s="2"/>
      <c r="K5" s="2"/>
      <c r="L5" s="2"/>
      <c r="M5" s="2"/>
      <c r="N5" s="2"/>
      <c r="O5" s="2"/>
      <c r="P5" s="2"/>
      <c r="Q5" s="2"/>
      <c r="R5" s="2"/>
      <c r="S5" s="2"/>
      <c r="T5" s="2"/>
      <c r="U5" s="2"/>
      <c r="V5" s="2"/>
      <c r="W5" s="2"/>
      <c r="X5" s="2"/>
      <c r="Y5" s="2"/>
      <c r="Z5" s="2"/>
    </row>
    <row r="6" ht="22.5" customHeight="1">
      <c r="A6" s="2"/>
      <c r="B6" s="28" t="s">
        <v>22</v>
      </c>
      <c r="C6" s="31" t="s">
        <v>25</v>
      </c>
      <c r="D6" s="34" t="s">
        <v>28</v>
      </c>
      <c r="E6" s="34" t="s">
        <v>31</v>
      </c>
      <c r="F6" s="2"/>
      <c r="G6" s="2"/>
      <c r="H6" s="2"/>
      <c r="I6" s="2"/>
      <c r="J6" s="2"/>
      <c r="K6" s="2"/>
      <c r="L6" s="2"/>
      <c r="M6" s="2"/>
      <c r="N6" s="2"/>
      <c r="O6" s="2"/>
      <c r="P6" s="2"/>
      <c r="Q6" s="2"/>
      <c r="R6" s="2"/>
      <c r="S6" s="2"/>
      <c r="T6" s="2"/>
      <c r="U6" s="2"/>
      <c r="V6" s="2"/>
      <c r="W6" s="2"/>
      <c r="X6" s="2"/>
      <c r="Y6" s="2"/>
      <c r="Z6" s="2"/>
    </row>
    <row r="7" ht="22.5" customHeight="1">
      <c r="A7" s="2"/>
      <c r="B7" s="28" t="s">
        <v>37</v>
      </c>
      <c r="C7" s="41" t="s">
        <v>43</v>
      </c>
      <c r="D7" s="34" t="s">
        <v>48</v>
      </c>
      <c r="E7" s="34" t="s">
        <v>53</v>
      </c>
      <c r="F7" s="2"/>
      <c r="G7" s="2"/>
      <c r="H7" s="2"/>
      <c r="I7" s="2"/>
      <c r="J7" s="2"/>
      <c r="K7" s="2"/>
      <c r="L7" s="2"/>
      <c r="M7" s="2"/>
      <c r="N7" s="2"/>
      <c r="O7" s="2"/>
      <c r="P7" s="2"/>
      <c r="Q7" s="2"/>
      <c r="R7" s="2"/>
      <c r="S7" s="2"/>
      <c r="T7" s="2"/>
      <c r="U7" s="2"/>
      <c r="V7" s="2"/>
      <c r="W7" s="2"/>
      <c r="X7" s="2"/>
      <c r="Y7" s="2"/>
      <c r="Z7" s="2"/>
    </row>
    <row r="8" ht="22.5" customHeight="1">
      <c r="A8" s="2"/>
      <c r="B8" s="28" t="s">
        <v>60</v>
      </c>
      <c r="C8" s="41" t="s">
        <v>65</v>
      </c>
      <c r="D8" s="34" t="s">
        <v>70</v>
      </c>
      <c r="E8" s="34" t="s">
        <v>71</v>
      </c>
      <c r="F8" s="2"/>
      <c r="G8" s="2"/>
      <c r="H8" s="2"/>
      <c r="I8" s="2"/>
      <c r="J8" s="2"/>
      <c r="K8" s="2"/>
      <c r="L8" s="2"/>
      <c r="M8" s="2"/>
      <c r="N8" s="2"/>
      <c r="O8" s="2"/>
      <c r="P8" s="2"/>
      <c r="Q8" s="2"/>
      <c r="R8" s="2"/>
      <c r="S8" s="2"/>
      <c r="T8" s="2"/>
      <c r="U8" s="2"/>
      <c r="V8" s="2"/>
      <c r="W8" s="2"/>
      <c r="X8" s="2"/>
      <c r="Y8" s="2"/>
      <c r="Z8" s="2"/>
    </row>
    <row r="9" ht="22.5" customHeight="1">
      <c r="A9" s="2"/>
      <c r="B9" s="28" t="s">
        <v>75</v>
      </c>
      <c r="C9" s="41" t="s">
        <v>76</v>
      </c>
      <c r="D9" s="34" t="s">
        <v>79</v>
      </c>
      <c r="E9" s="34" t="s">
        <v>81</v>
      </c>
      <c r="F9" s="2"/>
      <c r="G9" s="2"/>
      <c r="H9" s="2"/>
      <c r="I9" s="2"/>
      <c r="J9" s="2"/>
      <c r="K9" s="2"/>
      <c r="L9" s="2"/>
      <c r="M9" s="2"/>
      <c r="N9" s="2"/>
      <c r="O9" s="2"/>
      <c r="P9" s="2"/>
      <c r="Q9" s="2"/>
      <c r="R9" s="2"/>
      <c r="S9" s="2"/>
      <c r="T9" s="2"/>
      <c r="U9" s="2"/>
      <c r="V9" s="2"/>
      <c r="W9" s="2"/>
      <c r="X9" s="2"/>
      <c r="Y9" s="2"/>
      <c r="Z9" s="2"/>
    </row>
    <row r="10" ht="22.5" customHeight="1">
      <c r="A10" s="2"/>
      <c r="B10" s="28" t="s">
        <v>88</v>
      </c>
      <c r="C10" s="41" t="s">
        <v>89</v>
      </c>
      <c r="D10" s="34" t="s">
        <v>90</v>
      </c>
      <c r="E10" s="34" t="s">
        <v>92</v>
      </c>
      <c r="F10" s="2"/>
      <c r="G10" s="2"/>
      <c r="H10" s="2"/>
      <c r="I10" s="2"/>
      <c r="J10" s="2"/>
      <c r="K10" s="2"/>
      <c r="L10" s="2"/>
      <c r="M10" s="2"/>
      <c r="N10" s="2"/>
      <c r="O10" s="2"/>
      <c r="P10" s="2"/>
      <c r="Q10" s="2"/>
      <c r="R10" s="2"/>
      <c r="S10" s="2"/>
      <c r="T10" s="2"/>
      <c r="U10" s="2"/>
      <c r="V10" s="2"/>
      <c r="W10" s="2"/>
      <c r="X10" s="2"/>
      <c r="Y10" s="2"/>
      <c r="Z10" s="2"/>
    </row>
    <row r="11" ht="22.5" customHeight="1">
      <c r="A11" s="2"/>
      <c r="B11" s="28" t="s">
        <v>98</v>
      </c>
      <c r="C11" s="41" t="s">
        <v>101</v>
      </c>
      <c r="D11" s="34" t="s">
        <v>103</v>
      </c>
      <c r="E11" s="34" t="s">
        <v>104</v>
      </c>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B2:D2"/>
  </mergeCells>
  <hyperlinks>
    <hyperlink display="User Stories &amp; Points" location="Task1_UserStories!A1" ref="C7"/>
    <hyperlink display="UI Wireframes &amp; Specs" location="Task1_UserStories!A1" ref="C8"/>
    <hyperlink display="Project Timeline" location="Task3_ProjectTimeline!A1" ref="C9"/>
    <hyperlink display="Cost Estimation" location="Task4_CostEstimation!A1" ref="C10"/>
    <hyperlink display="Competitor Analysis" location="Task5_CompetitorAnalysis!A1" ref="C11"/>
  </hyperlink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3" max="3" width="19.25"/>
    <col customWidth="1" min="4" max="4" width="15.88"/>
    <col customWidth="1" min="5" max="5" width="44.13"/>
    <col customWidth="1" min="6" max="6" width="37.63"/>
    <col customWidth="1" min="7" max="7" width="14.13"/>
    <col customWidth="1" min="8" max="8" width="16.5"/>
  </cols>
  <sheetData>
    <row r="1">
      <c r="A1" s="1"/>
      <c r="B1" s="1"/>
      <c r="C1" s="3" t="s">
        <v>1</v>
      </c>
      <c r="E1" s="4"/>
      <c r="F1" s="4"/>
      <c r="G1" s="5"/>
      <c r="H1" s="5"/>
      <c r="I1" s="4"/>
    </row>
    <row r="2">
      <c r="A2" s="4"/>
      <c r="B2" s="5"/>
      <c r="E2" s="6" t="s">
        <v>2</v>
      </c>
      <c r="F2" s="4"/>
      <c r="G2" s="5"/>
      <c r="H2" s="5"/>
      <c r="I2" s="4"/>
    </row>
    <row r="3">
      <c r="A3" s="4"/>
      <c r="B3" s="5"/>
      <c r="C3" s="8" t="s">
        <v>5</v>
      </c>
      <c r="D3" s="10"/>
      <c r="E3" s="11"/>
      <c r="F3" s="4"/>
      <c r="G3" s="5"/>
      <c r="H3" s="5"/>
      <c r="I3" s="4"/>
    </row>
    <row r="4">
      <c r="A4" s="4"/>
      <c r="B4" s="5"/>
      <c r="C4" s="12"/>
      <c r="D4" s="13"/>
      <c r="E4" s="14"/>
      <c r="F4" s="4"/>
      <c r="G4" s="5"/>
      <c r="H4" s="5"/>
      <c r="I4" s="4"/>
    </row>
    <row r="5">
      <c r="A5" s="4"/>
      <c r="B5" s="5"/>
      <c r="C5" s="15" t="s">
        <v>9</v>
      </c>
      <c r="D5" s="17">
        <v>10.0</v>
      </c>
      <c r="E5" s="14"/>
      <c r="F5" s="4"/>
      <c r="G5" s="5"/>
      <c r="H5" s="5"/>
      <c r="I5" s="4"/>
    </row>
    <row r="6">
      <c r="A6" s="4"/>
      <c r="B6" s="5"/>
      <c r="C6" s="12"/>
      <c r="D6" s="13"/>
      <c r="E6" s="14"/>
      <c r="F6" s="4"/>
      <c r="G6" s="5"/>
      <c r="H6" s="5"/>
      <c r="I6" s="4"/>
    </row>
    <row r="7">
      <c r="A7" s="4"/>
      <c r="B7" s="5"/>
      <c r="C7" s="22" t="s">
        <v>14</v>
      </c>
      <c r="D7" s="24" t="s">
        <v>18</v>
      </c>
      <c r="E7" s="11"/>
      <c r="F7" s="4"/>
      <c r="G7" s="5"/>
      <c r="H7" s="5"/>
      <c r="I7" s="4"/>
    </row>
    <row r="8">
      <c r="A8" s="4"/>
      <c r="B8" s="5"/>
      <c r="C8" s="12"/>
      <c r="D8" s="13"/>
      <c r="E8" s="14"/>
      <c r="F8" s="4"/>
      <c r="G8" s="5"/>
      <c r="H8" s="5"/>
      <c r="I8" s="4"/>
    </row>
    <row r="9">
      <c r="A9" s="4"/>
      <c r="B9" s="5"/>
      <c r="C9" s="27" t="s">
        <v>23</v>
      </c>
      <c r="D9" s="13"/>
      <c r="E9" s="14"/>
      <c r="F9" s="4"/>
      <c r="G9" s="5"/>
      <c r="H9" s="5"/>
      <c r="I9" s="4"/>
    </row>
    <row r="10">
      <c r="A10" s="4"/>
      <c r="B10" s="5"/>
      <c r="C10" s="30"/>
      <c r="D10" s="33" t="s">
        <v>27</v>
      </c>
      <c r="E10" s="35"/>
      <c r="F10" s="4"/>
      <c r="G10" s="5"/>
      <c r="H10" s="5"/>
      <c r="I10" s="4"/>
    </row>
    <row r="11">
      <c r="A11" s="4"/>
      <c r="B11" s="5"/>
      <c r="C11" s="30"/>
      <c r="D11" s="33" t="s">
        <v>32</v>
      </c>
      <c r="E11" s="35"/>
      <c r="F11" s="4"/>
      <c r="G11" s="5"/>
      <c r="H11" s="5"/>
      <c r="I11" s="4"/>
    </row>
    <row r="12">
      <c r="A12" s="4"/>
      <c r="B12" s="5"/>
      <c r="C12" s="30"/>
      <c r="D12" s="33" t="s">
        <v>35</v>
      </c>
      <c r="E12" s="35"/>
      <c r="F12" s="4"/>
      <c r="G12" s="5"/>
      <c r="H12" s="5"/>
      <c r="I12" s="4"/>
    </row>
    <row r="13">
      <c r="A13" s="4"/>
      <c r="B13" s="5"/>
      <c r="C13" s="30"/>
      <c r="D13" s="33" t="s">
        <v>41</v>
      </c>
      <c r="E13" s="35"/>
      <c r="F13" s="4"/>
      <c r="G13" s="5"/>
      <c r="H13" s="5"/>
      <c r="I13" s="4"/>
    </row>
    <row r="14">
      <c r="A14" s="4"/>
      <c r="B14" s="5"/>
      <c r="C14" s="37"/>
      <c r="D14" s="38"/>
      <c r="E14" s="39"/>
      <c r="F14" s="4"/>
      <c r="G14" s="5"/>
      <c r="H14" s="5"/>
      <c r="I14" s="4"/>
    </row>
    <row r="15">
      <c r="A15" s="4"/>
      <c r="B15" s="5"/>
      <c r="C15" s="4"/>
      <c r="D15" s="4"/>
      <c r="E15" s="4"/>
      <c r="F15" s="4"/>
      <c r="G15" s="5"/>
      <c r="H15" s="5"/>
      <c r="I15" s="4"/>
    </row>
    <row r="16">
      <c r="A16" s="4"/>
      <c r="B16" s="5"/>
      <c r="C16" s="25" t="s">
        <v>47</v>
      </c>
      <c r="E16" s="4"/>
      <c r="F16" s="4"/>
      <c r="G16" s="5"/>
      <c r="H16" s="5"/>
      <c r="I16" s="4"/>
    </row>
    <row r="17" ht="22.5" customHeight="1">
      <c r="A17" s="4"/>
      <c r="B17" s="42" t="s">
        <v>51</v>
      </c>
      <c r="C17" s="43" t="s">
        <v>56</v>
      </c>
      <c r="D17" s="43" t="s">
        <v>57</v>
      </c>
      <c r="E17" s="43" t="s">
        <v>59</v>
      </c>
      <c r="F17" s="43" t="s">
        <v>62</v>
      </c>
      <c r="G17" s="42" t="s">
        <v>63</v>
      </c>
      <c r="H17" s="42" t="s">
        <v>66</v>
      </c>
      <c r="I17" s="4"/>
    </row>
    <row r="18" ht="22.5" customHeight="1">
      <c r="A18" s="4"/>
      <c r="B18" s="48" t="s">
        <v>68</v>
      </c>
      <c r="C18" s="51" t="s">
        <v>72</v>
      </c>
      <c r="D18" s="52" t="s">
        <v>73</v>
      </c>
      <c r="E18" s="55" t="s">
        <v>78</v>
      </c>
      <c r="F18" s="57" t="s">
        <v>82</v>
      </c>
      <c r="G18" s="58" t="s">
        <v>85</v>
      </c>
      <c r="H18" s="60">
        <v>5.0</v>
      </c>
      <c r="I18" s="4"/>
    </row>
    <row r="19" ht="22.5" customHeight="1">
      <c r="A19" s="4"/>
      <c r="B19" s="61" t="s">
        <v>99</v>
      </c>
      <c r="C19" s="62" t="s">
        <v>72</v>
      </c>
      <c r="D19" s="63" t="s">
        <v>73</v>
      </c>
      <c r="E19" s="64" t="s">
        <v>105</v>
      </c>
      <c r="F19" s="65" t="s">
        <v>107</v>
      </c>
      <c r="G19" s="66" t="s">
        <v>85</v>
      </c>
      <c r="H19" s="67">
        <v>8.0</v>
      </c>
      <c r="I19" s="4"/>
    </row>
    <row r="20" ht="22.5" customHeight="1">
      <c r="A20" s="4"/>
      <c r="B20" s="61" t="s">
        <v>117</v>
      </c>
      <c r="C20" s="62" t="s">
        <v>72</v>
      </c>
      <c r="D20" s="63" t="s">
        <v>73</v>
      </c>
      <c r="E20" s="64" t="s">
        <v>121</v>
      </c>
      <c r="F20" s="65" t="s">
        <v>123</v>
      </c>
      <c r="G20" s="66" t="s">
        <v>128</v>
      </c>
      <c r="H20" s="67">
        <v>3.0</v>
      </c>
      <c r="I20" s="4"/>
    </row>
    <row r="21" ht="22.5" customHeight="1">
      <c r="A21" s="4"/>
      <c r="B21" s="61" t="s">
        <v>138</v>
      </c>
      <c r="C21" s="62" t="s">
        <v>142</v>
      </c>
      <c r="D21" s="63" t="s">
        <v>73</v>
      </c>
      <c r="E21" s="64" t="s">
        <v>146</v>
      </c>
      <c r="F21" s="65" t="s">
        <v>148</v>
      </c>
      <c r="G21" s="66" t="s">
        <v>85</v>
      </c>
      <c r="H21" s="67">
        <v>3.0</v>
      </c>
      <c r="I21" s="4"/>
    </row>
    <row r="22" ht="22.5" customHeight="1">
      <c r="A22" s="4"/>
      <c r="B22" s="61" t="s">
        <v>162</v>
      </c>
      <c r="C22" s="62" t="s">
        <v>158</v>
      </c>
      <c r="D22" s="63" t="s">
        <v>164</v>
      </c>
      <c r="E22" s="64" t="s">
        <v>165</v>
      </c>
      <c r="F22" s="65" t="s">
        <v>166</v>
      </c>
      <c r="G22" s="66" t="s">
        <v>85</v>
      </c>
      <c r="H22" s="67">
        <v>5.0</v>
      </c>
      <c r="I22" s="4"/>
    </row>
    <row r="23" ht="22.5" customHeight="1">
      <c r="A23" s="4"/>
      <c r="B23" s="61" t="s">
        <v>167</v>
      </c>
      <c r="C23" s="62" t="s">
        <v>168</v>
      </c>
      <c r="D23" s="63" t="s">
        <v>169</v>
      </c>
      <c r="E23" s="64" t="s">
        <v>170</v>
      </c>
      <c r="F23" s="65" t="s">
        <v>171</v>
      </c>
      <c r="G23" s="66" t="s">
        <v>85</v>
      </c>
      <c r="H23" s="67">
        <v>8.0</v>
      </c>
      <c r="I23" s="4"/>
    </row>
    <row r="24" ht="22.5" customHeight="1">
      <c r="A24" s="4"/>
      <c r="B24" s="61" t="s">
        <v>174</v>
      </c>
      <c r="C24" s="62" t="s">
        <v>168</v>
      </c>
      <c r="D24" s="63" t="s">
        <v>169</v>
      </c>
      <c r="E24" s="64" t="s">
        <v>179</v>
      </c>
      <c r="F24" s="65" t="s">
        <v>180</v>
      </c>
      <c r="G24" s="66" t="s">
        <v>128</v>
      </c>
      <c r="H24" s="67">
        <v>2.0</v>
      </c>
      <c r="I24" s="4"/>
    </row>
    <row r="25" ht="22.5" customHeight="1">
      <c r="A25" s="4"/>
      <c r="B25" s="61" t="s">
        <v>185</v>
      </c>
      <c r="C25" s="62" t="s">
        <v>168</v>
      </c>
      <c r="D25" s="63" t="s">
        <v>169</v>
      </c>
      <c r="E25" s="64" t="s">
        <v>186</v>
      </c>
      <c r="F25" s="65" t="s">
        <v>187</v>
      </c>
      <c r="G25" s="66" t="s">
        <v>128</v>
      </c>
      <c r="H25" s="67">
        <v>3.0</v>
      </c>
      <c r="I25" s="4"/>
    </row>
    <row r="26" ht="22.5" customHeight="1">
      <c r="A26" s="4"/>
      <c r="B26" s="61" t="s">
        <v>193</v>
      </c>
      <c r="C26" s="62" t="s">
        <v>194</v>
      </c>
      <c r="D26" s="63" t="s">
        <v>169</v>
      </c>
      <c r="E26" s="64" t="s">
        <v>196</v>
      </c>
      <c r="F26" s="65" t="s">
        <v>198</v>
      </c>
      <c r="G26" s="66" t="s">
        <v>85</v>
      </c>
      <c r="H26" s="67">
        <v>5.0</v>
      </c>
      <c r="I26" s="4"/>
    </row>
    <row r="27" ht="22.5" customHeight="1">
      <c r="A27" s="4"/>
      <c r="B27" s="77" t="s">
        <v>202</v>
      </c>
      <c r="C27" s="78" t="s">
        <v>194</v>
      </c>
      <c r="D27" s="79" t="s">
        <v>73</v>
      </c>
      <c r="E27" s="80" t="s">
        <v>206</v>
      </c>
      <c r="F27" s="81" t="s">
        <v>208</v>
      </c>
      <c r="G27" s="82" t="s">
        <v>128</v>
      </c>
      <c r="H27" s="83">
        <v>5.0</v>
      </c>
      <c r="I27" s="4"/>
    </row>
    <row r="28">
      <c r="A28" s="4"/>
      <c r="B28" s="84"/>
      <c r="C28" s="85"/>
      <c r="D28" s="85"/>
      <c r="E28" s="85"/>
      <c r="F28" s="85"/>
      <c r="G28" s="86"/>
      <c r="H28" s="87"/>
      <c r="I28" s="4"/>
    </row>
    <row r="29">
      <c r="A29" s="4"/>
      <c r="B29" s="5"/>
      <c r="C29" s="4"/>
      <c r="D29" s="4"/>
      <c r="E29" s="4"/>
      <c r="F29" s="4"/>
      <c r="G29" s="5"/>
      <c r="H29" s="5"/>
      <c r="I29" s="4"/>
    </row>
  </sheetData>
  <mergeCells count="8">
    <mergeCell ref="C1:D2"/>
    <mergeCell ref="C3:E3"/>
    <mergeCell ref="D7:E7"/>
    <mergeCell ref="D10:E10"/>
    <mergeCell ref="D11:E11"/>
    <mergeCell ref="D12:E12"/>
    <mergeCell ref="D13:E13"/>
    <mergeCell ref="C16:D16"/>
  </mergeCells>
  <dataValidations>
    <dataValidation type="list" allowBlank="1" sqref="H18:H27">
      <formula1>"5,8,3,2"</formula1>
    </dataValidation>
    <dataValidation type="list" allowBlank="1" sqref="C18:C27">
      <formula1>"Knowledge Base,AI Configuration,Chat Widget,Omnichannel Inbox,Agent Handoff"</formula1>
    </dataValidation>
    <dataValidation type="list" allowBlank="1" sqref="D18:D27">
      <formula1>"Admin,Customer,Support Agent"</formula1>
    </dataValidation>
    <dataValidation type="list" allowBlank="1" sqref="G18:G27">
      <formula1>"High,Medium"</formula1>
    </dataValidation>
  </dataValidations>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6.38"/>
    <col customWidth="1" min="3" max="3" width="20.38"/>
    <col customWidth="1" min="4" max="4" width="18.88"/>
    <col customWidth="1" min="5" max="5" width="42.13"/>
    <col customWidth="1" min="6" max="7" width="37.63"/>
    <col customWidth="1" min="8" max="8" width="16.5"/>
  </cols>
  <sheetData>
    <row r="1">
      <c r="A1" s="1"/>
      <c r="B1" s="1"/>
      <c r="C1" s="3" t="s">
        <v>0</v>
      </c>
      <c r="E1" s="4"/>
      <c r="F1" s="4"/>
      <c r="G1" s="5"/>
      <c r="H1" s="5"/>
      <c r="I1" s="4"/>
    </row>
    <row r="2">
      <c r="A2" s="4"/>
      <c r="B2" s="5"/>
      <c r="E2" s="6" t="s">
        <v>4</v>
      </c>
      <c r="F2" s="4"/>
      <c r="G2" s="5"/>
      <c r="H2" s="5"/>
      <c r="I2" s="4"/>
    </row>
    <row r="3">
      <c r="A3" s="4"/>
      <c r="B3" s="5"/>
      <c r="C3" s="8" t="s">
        <v>5</v>
      </c>
      <c r="D3" s="10"/>
      <c r="E3" s="11"/>
      <c r="G3" s="5"/>
      <c r="H3" s="5"/>
      <c r="I3" s="4"/>
    </row>
    <row r="4">
      <c r="A4" s="4"/>
      <c r="B4" s="5"/>
      <c r="C4" s="12"/>
      <c r="D4" s="13"/>
      <c r="E4" s="14"/>
      <c r="G4" s="5"/>
      <c r="H4" s="5"/>
      <c r="I4" s="4"/>
    </row>
    <row r="5">
      <c r="A5" s="4"/>
      <c r="B5" s="5"/>
      <c r="C5" s="15" t="s">
        <v>7</v>
      </c>
      <c r="D5" s="18" t="s">
        <v>10</v>
      </c>
      <c r="E5" s="20"/>
      <c r="G5" s="5"/>
      <c r="H5" s="5"/>
      <c r="I5" s="4"/>
    </row>
    <row r="6">
      <c r="A6" s="4"/>
      <c r="B6" s="5"/>
      <c r="C6" s="12"/>
      <c r="D6" s="13"/>
      <c r="E6" s="14"/>
      <c r="F6" s="21" t="s">
        <v>13</v>
      </c>
      <c r="G6" s="5"/>
      <c r="H6" s="5"/>
      <c r="I6" s="4"/>
    </row>
    <row r="7">
      <c r="A7" s="4"/>
      <c r="B7" s="5"/>
      <c r="C7" s="22" t="s">
        <v>16</v>
      </c>
      <c r="D7" s="24" t="s">
        <v>19</v>
      </c>
      <c r="E7" s="11"/>
      <c r="F7" s="26" t="s">
        <v>21</v>
      </c>
      <c r="G7" s="5"/>
      <c r="H7" s="5"/>
      <c r="I7" s="4"/>
    </row>
    <row r="8">
      <c r="A8" s="4"/>
      <c r="B8" s="5"/>
      <c r="C8" s="12"/>
      <c r="D8" s="13"/>
      <c r="E8" s="14"/>
      <c r="F8" s="4"/>
      <c r="G8" s="5"/>
      <c r="H8" s="5"/>
      <c r="I8" s="4"/>
    </row>
    <row r="9">
      <c r="A9" s="4"/>
      <c r="B9" s="5"/>
      <c r="C9" s="27" t="s">
        <v>24</v>
      </c>
      <c r="D9" s="13"/>
      <c r="E9" s="14"/>
      <c r="F9" s="4"/>
      <c r="G9" s="5"/>
      <c r="H9" s="5"/>
      <c r="I9" s="4"/>
    </row>
    <row r="10">
      <c r="A10" s="4"/>
      <c r="B10" s="5"/>
      <c r="C10" s="30"/>
      <c r="D10" s="33" t="s">
        <v>29</v>
      </c>
      <c r="E10" s="35"/>
      <c r="F10" s="4"/>
      <c r="G10" s="5"/>
      <c r="H10" s="5"/>
      <c r="I10" s="4"/>
    </row>
    <row r="11">
      <c r="A11" s="4"/>
      <c r="B11" s="5"/>
      <c r="C11" s="30"/>
      <c r="D11" s="33" t="s">
        <v>33</v>
      </c>
      <c r="E11" s="35"/>
      <c r="F11" s="4"/>
      <c r="G11" s="5"/>
      <c r="H11" s="5"/>
      <c r="I11" s="4"/>
    </row>
    <row r="12">
      <c r="A12" s="4"/>
      <c r="B12" s="5"/>
      <c r="C12" s="30"/>
      <c r="D12" s="33" t="s">
        <v>38</v>
      </c>
      <c r="E12" s="35"/>
      <c r="F12" s="4"/>
      <c r="G12" s="5"/>
      <c r="H12" s="5"/>
      <c r="I12" s="4"/>
    </row>
    <row r="13">
      <c r="A13" s="4"/>
      <c r="B13" s="5"/>
      <c r="C13" s="37"/>
      <c r="D13" s="38"/>
      <c r="E13" s="39"/>
      <c r="F13" s="4"/>
      <c r="G13" s="5"/>
      <c r="H13" s="5"/>
      <c r="I13" s="4"/>
    </row>
    <row r="14">
      <c r="A14" s="4"/>
      <c r="B14" s="5"/>
      <c r="C14" s="4"/>
      <c r="D14" s="4"/>
      <c r="E14" s="4"/>
      <c r="F14" s="4"/>
      <c r="G14" s="5"/>
      <c r="H14" s="5"/>
      <c r="I14" s="4"/>
    </row>
    <row r="15">
      <c r="A15" s="4"/>
      <c r="B15" s="5"/>
      <c r="C15" s="25" t="s">
        <v>49</v>
      </c>
      <c r="E15" s="4"/>
      <c r="F15" s="4"/>
      <c r="G15" s="5"/>
      <c r="H15" s="5"/>
      <c r="I15" s="4"/>
    </row>
    <row r="16" ht="22.5" customHeight="1">
      <c r="A16" s="4"/>
      <c r="B16" s="45" t="s">
        <v>54</v>
      </c>
      <c r="C16" s="45" t="s">
        <v>58</v>
      </c>
      <c r="D16" s="45" t="s">
        <v>61</v>
      </c>
      <c r="E16" s="45" t="s">
        <v>64</v>
      </c>
      <c r="F16" s="45" t="s">
        <v>67</v>
      </c>
      <c r="G16" s="45" t="s">
        <v>69</v>
      </c>
      <c r="H16" s="50"/>
      <c r="I16" s="4"/>
    </row>
    <row r="17" ht="22.5" customHeight="1">
      <c r="A17" s="4"/>
      <c r="B17" s="53" t="s">
        <v>74</v>
      </c>
      <c r="C17" s="54" t="s">
        <v>77</v>
      </c>
      <c r="D17" s="56" t="s">
        <v>80</v>
      </c>
      <c r="E17" s="56" t="s">
        <v>83</v>
      </c>
      <c r="F17" s="56" t="s">
        <v>86</v>
      </c>
      <c r="G17" s="56" t="s">
        <v>87</v>
      </c>
      <c r="H17" s="50"/>
      <c r="I17" s="4"/>
    </row>
    <row r="18" ht="22.5" customHeight="1">
      <c r="A18" s="4"/>
      <c r="B18" s="53" t="s">
        <v>91</v>
      </c>
      <c r="C18" s="54" t="s">
        <v>77</v>
      </c>
      <c r="D18" s="56" t="s">
        <v>94</v>
      </c>
      <c r="E18" s="56" t="s">
        <v>96</v>
      </c>
      <c r="F18" s="56" t="s">
        <v>100</v>
      </c>
      <c r="G18" s="56" t="s">
        <v>102</v>
      </c>
      <c r="H18" s="50"/>
      <c r="I18" s="4"/>
    </row>
    <row r="19" ht="22.5" customHeight="1">
      <c r="A19" s="4"/>
      <c r="B19" s="53" t="s">
        <v>106</v>
      </c>
      <c r="C19" s="54" t="s">
        <v>77</v>
      </c>
      <c r="D19" s="56" t="s">
        <v>108</v>
      </c>
      <c r="E19" s="56" t="s">
        <v>109</v>
      </c>
      <c r="F19" s="56" t="s">
        <v>111</v>
      </c>
      <c r="G19" s="56" t="s">
        <v>113</v>
      </c>
      <c r="H19" s="50"/>
      <c r="I19" s="4"/>
    </row>
    <row r="20" ht="22.5" customHeight="1">
      <c r="A20" s="4"/>
      <c r="B20" s="53" t="s">
        <v>115</v>
      </c>
      <c r="C20" s="54" t="s">
        <v>77</v>
      </c>
      <c r="D20" s="56" t="s">
        <v>116</v>
      </c>
      <c r="E20" s="56" t="s">
        <v>118</v>
      </c>
      <c r="F20" s="56" t="s">
        <v>119</v>
      </c>
      <c r="G20" s="56" t="s">
        <v>120</v>
      </c>
      <c r="H20" s="50"/>
      <c r="I20" s="4"/>
    </row>
    <row r="21" ht="22.5" customHeight="1">
      <c r="A21" s="4"/>
      <c r="B21" s="53" t="s">
        <v>122</v>
      </c>
      <c r="C21" s="54" t="s">
        <v>77</v>
      </c>
      <c r="D21" s="56" t="s">
        <v>124</v>
      </c>
      <c r="E21" s="56" t="s">
        <v>126</v>
      </c>
      <c r="F21" s="56" t="s">
        <v>129</v>
      </c>
      <c r="G21" s="56" t="s">
        <v>130</v>
      </c>
      <c r="H21" s="50"/>
      <c r="I21" s="4"/>
    </row>
    <row r="22" ht="22.5" customHeight="1">
      <c r="A22" s="4"/>
      <c r="B22" s="53" t="s">
        <v>132</v>
      </c>
      <c r="C22" s="54" t="s">
        <v>77</v>
      </c>
      <c r="D22" s="56" t="s">
        <v>133</v>
      </c>
      <c r="E22" s="56" t="s">
        <v>134</v>
      </c>
      <c r="F22" s="56" t="s">
        <v>135</v>
      </c>
      <c r="G22" s="56" t="s">
        <v>136</v>
      </c>
      <c r="H22" s="50"/>
      <c r="I22" s="4"/>
    </row>
    <row r="23" ht="22.5" customHeight="1">
      <c r="A23" s="4"/>
      <c r="B23" s="53" t="s">
        <v>137</v>
      </c>
      <c r="C23" s="54" t="s">
        <v>72</v>
      </c>
      <c r="D23" s="56" t="s">
        <v>139</v>
      </c>
      <c r="E23" s="56" t="s">
        <v>140</v>
      </c>
      <c r="F23" s="56" t="s">
        <v>141</v>
      </c>
      <c r="G23" s="56" t="s">
        <v>144</v>
      </c>
      <c r="H23" s="50"/>
      <c r="I23" s="4"/>
    </row>
    <row r="24" ht="22.5" customHeight="1">
      <c r="A24" s="4"/>
      <c r="B24" s="53" t="s">
        <v>145</v>
      </c>
      <c r="C24" s="54" t="s">
        <v>72</v>
      </c>
      <c r="D24" s="56" t="s">
        <v>147</v>
      </c>
      <c r="E24" s="56" t="s">
        <v>149</v>
      </c>
      <c r="F24" s="56" t="s">
        <v>150</v>
      </c>
      <c r="G24" s="56" t="s">
        <v>151</v>
      </c>
      <c r="H24" s="50"/>
      <c r="I24" s="4"/>
    </row>
    <row r="25" ht="22.5" customHeight="1">
      <c r="A25" s="4"/>
      <c r="B25" s="53" t="s">
        <v>152</v>
      </c>
      <c r="C25" s="54" t="s">
        <v>72</v>
      </c>
      <c r="D25" s="56" t="s">
        <v>153</v>
      </c>
      <c r="E25" s="56" t="s">
        <v>154</v>
      </c>
      <c r="F25" s="56" t="s">
        <v>155</v>
      </c>
      <c r="G25" s="56" t="s">
        <v>156</v>
      </c>
      <c r="H25" s="50"/>
      <c r="I25" s="4"/>
    </row>
    <row r="26" ht="22.5" customHeight="1">
      <c r="A26" s="4"/>
      <c r="B26" s="53" t="s">
        <v>157</v>
      </c>
      <c r="C26" s="54" t="s">
        <v>158</v>
      </c>
      <c r="D26" s="56" t="s">
        <v>159</v>
      </c>
      <c r="E26" s="56" t="s">
        <v>160</v>
      </c>
      <c r="F26" s="56" t="s">
        <v>161</v>
      </c>
      <c r="G26" s="56" t="s">
        <v>163</v>
      </c>
      <c r="H26" s="50"/>
      <c r="I26" s="4"/>
    </row>
    <row r="27">
      <c r="A27" s="4"/>
      <c r="B27" s="5"/>
      <c r="C27" s="4"/>
      <c r="D27" s="4"/>
      <c r="E27" s="4"/>
      <c r="F27" s="4"/>
      <c r="G27" s="5"/>
      <c r="H27" s="5"/>
      <c r="I27" s="4"/>
    </row>
    <row r="28">
      <c r="A28" s="4"/>
      <c r="B28" s="5"/>
      <c r="C28" s="4"/>
      <c r="D28" s="4"/>
      <c r="E28" s="4"/>
      <c r="F28" s="4"/>
      <c r="G28" s="5"/>
      <c r="H28" s="5"/>
      <c r="I28" s="4"/>
    </row>
    <row r="29">
      <c r="A29" s="4"/>
      <c r="B29" s="5"/>
      <c r="C29" s="4"/>
      <c r="D29" s="4"/>
      <c r="E29" s="4"/>
      <c r="F29" s="4"/>
      <c r="G29" s="5"/>
      <c r="H29" s="5"/>
      <c r="I29" s="4"/>
    </row>
    <row r="30">
      <c r="A30" s="4"/>
      <c r="B30" s="5"/>
      <c r="C30" s="4"/>
      <c r="D30" s="4"/>
      <c r="E30" s="4"/>
      <c r="F30" s="4"/>
      <c r="G30" s="5"/>
      <c r="H30" s="5"/>
      <c r="I30" s="4"/>
    </row>
    <row r="31">
      <c r="A31" s="4"/>
      <c r="B31" s="5"/>
      <c r="C31" s="4"/>
      <c r="D31" s="4"/>
      <c r="E31" s="4"/>
      <c r="F31" s="4"/>
      <c r="G31" s="5"/>
      <c r="H31" s="5"/>
      <c r="I31" s="4"/>
    </row>
    <row r="32">
      <c r="A32" s="4"/>
      <c r="B32" s="5"/>
      <c r="C32" s="4"/>
      <c r="D32" s="4"/>
      <c r="E32" s="4"/>
      <c r="F32" s="4"/>
      <c r="G32" s="5"/>
      <c r="H32" s="5"/>
      <c r="I32" s="4"/>
    </row>
    <row r="33">
      <c r="A33" s="4"/>
      <c r="B33" s="5"/>
      <c r="C33" s="4"/>
      <c r="D33" s="4"/>
      <c r="E33" s="4"/>
      <c r="F33" s="4"/>
      <c r="G33" s="5"/>
      <c r="H33" s="5"/>
      <c r="I33" s="4"/>
    </row>
    <row r="34">
      <c r="A34" s="4"/>
      <c r="B34" s="5"/>
      <c r="C34" s="4"/>
      <c r="D34" s="4"/>
      <c r="E34" s="4"/>
      <c r="F34" s="4"/>
      <c r="G34" s="5"/>
      <c r="H34" s="5"/>
      <c r="I34" s="4"/>
    </row>
    <row r="35">
      <c r="A35" s="4"/>
      <c r="B35" s="5"/>
      <c r="C35" s="4"/>
      <c r="D35" s="4"/>
      <c r="E35" s="4"/>
      <c r="F35" s="4"/>
      <c r="G35" s="5"/>
      <c r="H35" s="5"/>
      <c r="I35" s="4"/>
    </row>
    <row r="36">
      <c r="A36" s="4"/>
      <c r="B36" s="5"/>
      <c r="C36" s="4"/>
      <c r="D36" s="4"/>
      <c r="E36" s="4"/>
      <c r="F36" s="4"/>
      <c r="G36" s="5"/>
      <c r="H36" s="5"/>
      <c r="I36" s="4"/>
    </row>
    <row r="37">
      <c r="A37" s="4"/>
      <c r="B37" s="5"/>
      <c r="C37" s="4"/>
      <c r="D37" s="4"/>
      <c r="E37" s="4"/>
      <c r="F37" s="4"/>
      <c r="G37" s="5"/>
      <c r="H37" s="5"/>
      <c r="I37" s="4"/>
    </row>
    <row r="38">
      <c r="A38" s="4"/>
      <c r="B38" s="5"/>
      <c r="C38" s="4"/>
      <c r="D38" s="4"/>
      <c r="E38" s="4"/>
      <c r="F38" s="4"/>
      <c r="G38" s="5"/>
      <c r="H38" s="5"/>
      <c r="I38" s="4"/>
    </row>
    <row r="39">
      <c r="A39" s="4"/>
      <c r="B39" s="5"/>
      <c r="C39" s="4"/>
      <c r="D39" s="4"/>
      <c r="E39" s="4"/>
      <c r="F39" s="4"/>
      <c r="G39" s="5"/>
      <c r="H39" s="5"/>
      <c r="I39" s="4"/>
    </row>
    <row r="40">
      <c r="A40" s="4"/>
      <c r="B40" s="5"/>
      <c r="C40" s="4"/>
      <c r="D40" s="4"/>
      <c r="E40" s="4"/>
      <c r="F40" s="4"/>
      <c r="G40" s="5"/>
      <c r="H40" s="5"/>
      <c r="I40" s="4"/>
    </row>
    <row r="41">
      <c r="A41" s="4"/>
      <c r="B41" s="5"/>
      <c r="C41" s="4"/>
      <c r="D41" s="4"/>
      <c r="E41" s="4"/>
      <c r="F41" s="4"/>
      <c r="G41" s="5"/>
      <c r="H41" s="5"/>
      <c r="I41" s="4"/>
    </row>
    <row r="42">
      <c r="A42" s="4"/>
      <c r="B42" s="5"/>
      <c r="C42" s="4"/>
      <c r="D42" s="4"/>
      <c r="E42" s="4"/>
      <c r="F42" s="4"/>
      <c r="G42" s="5"/>
      <c r="H42" s="5"/>
      <c r="I42" s="4"/>
    </row>
    <row r="43">
      <c r="A43" s="4"/>
      <c r="B43" s="5"/>
      <c r="C43" s="4"/>
      <c r="D43" s="4"/>
      <c r="E43" s="4"/>
      <c r="F43" s="4"/>
      <c r="G43" s="5"/>
      <c r="H43" s="5"/>
      <c r="I43" s="4"/>
    </row>
    <row r="44">
      <c r="A44" s="4"/>
      <c r="B44" s="5"/>
      <c r="C44" s="4"/>
      <c r="D44" s="4"/>
      <c r="E44" s="4"/>
      <c r="F44" s="4"/>
      <c r="G44" s="5"/>
      <c r="H44" s="5"/>
      <c r="I44" s="4"/>
    </row>
    <row r="45">
      <c r="A45" s="4"/>
      <c r="B45" s="5"/>
      <c r="C45" s="4"/>
      <c r="D45" s="4"/>
      <c r="E45" s="4"/>
      <c r="F45" s="4"/>
      <c r="G45" s="5"/>
      <c r="H45" s="5"/>
      <c r="I45" s="4"/>
    </row>
    <row r="46">
      <c r="A46" s="4"/>
      <c r="B46" s="5"/>
      <c r="C46" s="4"/>
      <c r="D46" s="4"/>
      <c r="E46" s="4"/>
      <c r="F46" s="4"/>
      <c r="G46" s="5"/>
      <c r="H46" s="5"/>
      <c r="I46" s="4"/>
    </row>
    <row r="47">
      <c r="A47" s="4"/>
      <c r="B47" s="5"/>
      <c r="C47" s="4"/>
      <c r="D47" s="4"/>
      <c r="E47" s="4"/>
      <c r="F47" s="4"/>
      <c r="G47" s="5"/>
      <c r="H47" s="5"/>
      <c r="I47" s="4"/>
    </row>
    <row r="48">
      <c r="A48" s="4"/>
      <c r="B48" s="5"/>
      <c r="C48" s="4"/>
      <c r="D48" s="4"/>
      <c r="E48" s="4"/>
      <c r="F48" s="4"/>
      <c r="G48" s="5"/>
      <c r="H48" s="5"/>
      <c r="I48" s="4"/>
    </row>
    <row r="49">
      <c r="A49" s="4"/>
      <c r="B49" s="5"/>
      <c r="C49" s="4"/>
      <c r="D49" s="4"/>
      <c r="E49" s="4"/>
      <c r="F49" s="4"/>
      <c r="G49" s="5"/>
      <c r="H49" s="5"/>
      <c r="I49" s="4"/>
    </row>
    <row r="50">
      <c r="A50" s="4"/>
      <c r="B50" s="5"/>
      <c r="C50" s="4"/>
      <c r="D50" s="4"/>
      <c r="E50" s="4"/>
      <c r="F50" s="4"/>
      <c r="G50" s="5"/>
      <c r="H50" s="5"/>
      <c r="I50" s="4"/>
    </row>
    <row r="51">
      <c r="A51" s="4"/>
      <c r="B51" s="5"/>
      <c r="C51" s="4"/>
      <c r="D51" s="4"/>
      <c r="E51" s="4"/>
      <c r="F51" s="4"/>
      <c r="G51" s="5"/>
      <c r="H51" s="5"/>
      <c r="I51" s="4"/>
    </row>
    <row r="52">
      <c r="A52" s="4"/>
      <c r="B52" s="5"/>
      <c r="C52" s="4"/>
      <c r="D52" s="4"/>
      <c r="E52" s="4"/>
      <c r="F52" s="4"/>
      <c r="G52" s="5"/>
      <c r="H52" s="5"/>
      <c r="I52" s="4"/>
    </row>
    <row r="53">
      <c r="A53" s="4"/>
      <c r="B53" s="5"/>
      <c r="C53" s="4"/>
      <c r="D53" s="4"/>
      <c r="E53" s="4"/>
      <c r="F53" s="4"/>
      <c r="G53" s="5"/>
      <c r="H53" s="5"/>
      <c r="I53" s="4"/>
    </row>
    <row r="54">
      <c r="A54" s="4"/>
      <c r="B54" s="5"/>
      <c r="C54" s="4"/>
      <c r="D54" s="4"/>
      <c r="E54" s="4"/>
      <c r="F54" s="4"/>
      <c r="G54" s="5"/>
      <c r="H54" s="5"/>
      <c r="I54" s="4"/>
    </row>
    <row r="55">
      <c r="A55" s="4"/>
      <c r="B55" s="5"/>
      <c r="C55" s="4"/>
      <c r="D55" s="4"/>
      <c r="E55" s="4"/>
      <c r="F55" s="4"/>
      <c r="G55" s="5"/>
      <c r="H55" s="5"/>
      <c r="I55" s="4"/>
    </row>
    <row r="56">
      <c r="A56" s="4"/>
      <c r="B56" s="5"/>
      <c r="C56" s="4"/>
      <c r="D56" s="4"/>
      <c r="E56" s="4"/>
      <c r="F56" s="4"/>
      <c r="G56" s="5"/>
      <c r="H56" s="5"/>
      <c r="I56" s="4"/>
    </row>
    <row r="57">
      <c r="A57" s="4"/>
      <c r="B57" s="5"/>
      <c r="C57" s="4"/>
      <c r="D57" s="4"/>
      <c r="E57" s="4"/>
      <c r="F57" s="4"/>
      <c r="G57" s="5"/>
      <c r="H57" s="5"/>
      <c r="I57" s="4"/>
    </row>
    <row r="58">
      <c r="A58" s="4"/>
      <c r="B58" s="5"/>
      <c r="C58" s="4"/>
      <c r="D58" s="4"/>
      <c r="E58" s="4"/>
      <c r="F58" s="4"/>
      <c r="G58" s="5"/>
      <c r="H58" s="5"/>
      <c r="I58" s="4"/>
    </row>
    <row r="59">
      <c r="A59" s="4"/>
      <c r="B59" s="5"/>
      <c r="C59" s="4"/>
      <c r="D59" s="4"/>
      <c r="E59" s="4"/>
      <c r="F59" s="4"/>
      <c r="G59" s="5"/>
      <c r="H59" s="5"/>
      <c r="I59" s="4"/>
    </row>
    <row r="60">
      <c r="A60" s="4"/>
      <c r="B60" s="5"/>
      <c r="C60" s="4"/>
      <c r="D60" s="4"/>
      <c r="E60" s="4"/>
      <c r="F60" s="4"/>
      <c r="G60" s="5"/>
      <c r="H60" s="5"/>
      <c r="I60" s="4"/>
    </row>
    <row r="61">
      <c r="A61" s="4"/>
      <c r="B61" s="5"/>
      <c r="C61" s="4"/>
      <c r="D61" s="4"/>
      <c r="E61" s="4"/>
      <c r="F61" s="4"/>
      <c r="G61" s="5"/>
      <c r="H61" s="5"/>
      <c r="I61" s="4"/>
    </row>
    <row r="62">
      <c r="A62" s="4"/>
      <c r="B62" s="5"/>
      <c r="C62" s="4"/>
      <c r="D62" s="4"/>
      <c r="E62" s="4"/>
      <c r="F62" s="4"/>
      <c r="G62" s="5"/>
      <c r="H62" s="5"/>
      <c r="I62" s="4"/>
    </row>
    <row r="63">
      <c r="A63" s="4"/>
      <c r="B63" s="5"/>
      <c r="C63" s="4"/>
      <c r="D63" s="4"/>
      <c r="E63" s="4"/>
      <c r="F63" s="4"/>
      <c r="G63" s="5"/>
      <c r="H63" s="5"/>
      <c r="I63" s="4"/>
    </row>
    <row r="64">
      <c r="A64" s="4"/>
      <c r="B64" s="5"/>
      <c r="C64" s="4"/>
      <c r="D64" s="4"/>
      <c r="E64" s="4"/>
      <c r="F64" s="4"/>
      <c r="G64" s="5"/>
      <c r="H64" s="5"/>
      <c r="I64" s="4"/>
    </row>
    <row r="65">
      <c r="A65" s="4"/>
      <c r="B65" s="5"/>
      <c r="C65" s="4"/>
      <c r="D65" s="4"/>
      <c r="E65" s="4"/>
      <c r="F65" s="4"/>
      <c r="G65" s="5"/>
      <c r="H65" s="5"/>
      <c r="I65" s="4"/>
    </row>
    <row r="66">
      <c r="A66" s="4"/>
      <c r="B66" s="5"/>
      <c r="C66" s="4"/>
      <c r="D66" s="4"/>
      <c r="E66" s="4"/>
      <c r="F66" s="4"/>
      <c r="G66" s="5"/>
      <c r="H66" s="5"/>
      <c r="I66" s="4"/>
    </row>
    <row r="67">
      <c r="A67" s="4"/>
      <c r="B67" s="5"/>
      <c r="C67" s="4"/>
      <c r="D67" s="4"/>
      <c r="E67" s="4"/>
      <c r="F67" s="4"/>
      <c r="G67" s="5"/>
      <c r="H67" s="5"/>
      <c r="I67" s="4"/>
    </row>
    <row r="68">
      <c r="A68" s="4"/>
      <c r="B68" s="5"/>
      <c r="C68" s="4"/>
      <c r="D68" s="4"/>
      <c r="E68" s="4"/>
      <c r="F68" s="4"/>
      <c r="G68" s="5"/>
      <c r="H68" s="5"/>
      <c r="I68" s="4"/>
    </row>
    <row r="69">
      <c r="A69" s="4"/>
      <c r="B69" s="5"/>
      <c r="C69" s="4"/>
      <c r="D69" s="4"/>
      <c r="E69" s="4"/>
      <c r="F69" s="4"/>
      <c r="G69" s="5"/>
      <c r="H69" s="5"/>
      <c r="I69" s="4"/>
    </row>
    <row r="70">
      <c r="A70" s="4"/>
      <c r="B70" s="5"/>
      <c r="C70" s="4"/>
      <c r="D70" s="4"/>
      <c r="E70" s="4"/>
      <c r="F70" s="4"/>
      <c r="G70" s="5"/>
      <c r="H70" s="5"/>
      <c r="I70" s="4"/>
    </row>
    <row r="71">
      <c r="A71" s="4"/>
      <c r="B71" s="5"/>
      <c r="C71" s="4"/>
      <c r="D71" s="4"/>
      <c r="E71" s="4"/>
      <c r="F71" s="4"/>
      <c r="G71" s="5"/>
      <c r="H71" s="5"/>
      <c r="I71" s="4"/>
    </row>
    <row r="72">
      <c r="A72" s="4"/>
      <c r="B72" s="5"/>
      <c r="C72" s="4"/>
      <c r="D72" s="4"/>
      <c r="E72" s="4"/>
      <c r="F72" s="4"/>
      <c r="G72" s="5"/>
      <c r="H72" s="5"/>
      <c r="I72" s="4"/>
    </row>
    <row r="73">
      <c r="A73" s="4"/>
      <c r="B73" s="5"/>
      <c r="C73" s="4"/>
      <c r="D73" s="4"/>
      <c r="E73" s="4"/>
      <c r="F73" s="4"/>
      <c r="G73" s="5"/>
      <c r="H73" s="5"/>
      <c r="I73" s="4"/>
    </row>
    <row r="74">
      <c r="A74" s="4"/>
      <c r="B74" s="5"/>
      <c r="C74" s="4"/>
      <c r="D74" s="4"/>
      <c r="E74" s="4"/>
      <c r="F74" s="4"/>
      <c r="G74" s="5"/>
      <c r="H74" s="5"/>
      <c r="I74" s="4"/>
    </row>
    <row r="75">
      <c r="A75" s="4"/>
      <c r="B75" s="5"/>
      <c r="C75" s="4"/>
      <c r="D75" s="4"/>
      <c r="E75" s="4"/>
      <c r="F75" s="4"/>
      <c r="G75" s="5"/>
      <c r="H75" s="5"/>
      <c r="I75" s="4"/>
    </row>
    <row r="76">
      <c r="A76" s="4"/>
      <c r="B76" s="5"/>
      <c r="C76" s="4"/>
      <c r="D76" s="4"/>
      <c r="E76" s="4"/>
      <c r="F76" s="4"/>
      <c r="G76" s="5"/>
      <c r="H76" s="5"/>
      <c r="I76" s="4"/>
    </row>
    <row r="77">
      <c r="A77" s="4"/>
      <c r="B77" s="5"/>
      <c r="C77" s="4"/>
      <c r="D77" s="4"/>
      <c r="E77" s="4"/>
      <c r="F77" s="4"/>
      <c r="G77" s="5"/>
      <c r="H77" s="5"/>
      <c r="I77" s="4"/>
    </row>
    <row r="78">
      <c r="A78" s="4"/>
      <c r="B78" s="5"/>
      <c r="C78" s="4"/>
      <c r="D78" s="4"/>
      <c r="E78" s="4"/>
      <c r="F78" s="4"/>
      <c r="G78" s="5"/>
      <c r="H78" s="5"/>
      <c r="I78" s="4"/>
    </row>
    <row r="79">
      <c r="A79" s="4"/>
      <c r="B79" s="5"/>
      <c r="C79" s="4"/>
      <c r="D79" s="4"/>
      <c r="E79" s="4"/>
      <c r="F79" s="4"/>
      <c r="G79" s="5"/>
      <c r="H79" s="5"/>
      <c r="I79" s="4"/>
    </row>
    <row r="80">
      <c r="A80" s="4"/>
      <c r="B80" s="5"/>
      <c r="C80" s="4"/>
      <c r="D80" s="4"/>
      <c r="E80" s="4"/>
      <c r="F80" s="4"/>
      <c r="G80" s="5"/>
      <c r="H80" s="5"/>
      <c r="I80" s="4"/>
    </row>
    <row r="81">
      <c r="A81" s="4"/>
      <c r="B81" s="5"/>
      <c r="C81" s="4"/>
      <c r="D81" s="4"/>
      <c r="E81" s="4"/>
      <c r="F81" s="4"/>
      <c r="G81" s="5"/>
      <c r="H81" s="5"/>
      <c r="I81" s="4"/>
    </row>
    <row r="82">
      <c r="A82" s="4"/>
      <c r="B82" s="5"/>
      <c r="C82" s="4"/>
      <c r="D82" s="4"/>
      <c r="E82" s="4"/>
      <c r="F82" s="4"/>
      <c r="G82" s="5"/>
      <c r="H82" s="5"/>
      <c r="I82" s="4"/>
    </row>
    <row r="83">
      <c r="A83" s="4"/>
      <c r="B83" s="5"/>
      <c r="C83" s="4"/>
      <c r="D83" s="4"/>
      <c r="E83" s="4"/>
      <c r="F83" s="4"/>
      <c r="G83" s="5"/>
      <c r="H83" s="5"/>
      <c r="I83" s="4"/>
    </row>
    <row r="84">
      <c r="A84" s="4"/>
      <c r="B84" s="5"/>
      <c r="C84" s="4"/>
      <c r="D84" s="4"/>
      <c r="E84" s="4"/>
      <c r="F84" s="4"/>
      <c r="G84" s="5"/>
      <c r="H84" s="5"/>
      <c r="I84" s="4"/>
    </row>
    <row r="85">
      <c r="A85" s="4"/>
      <c r="B85" s="5"/>
      <c r="C85" s="4"/>
      <c r="D85" s="4"/>
      <c r="E85" s="4"/>
      <c r="F85" s="4"/>
      <c r="G85" s="5"/>
      <c r="H85" s="5"/>
      <c r="I85" s="4"/>
    </row>
    <row r="86">
      <c r="A86" s="4"/>
      <c r="B86" s="5"/>
      <c r="C86" s="4"/>
      <c r="D86" s="4"/>
      <c r="E86" s="4"/>
      <c r="F86" s="4"/>
      <c r="G86" s="5"/>
      <c r="H86" s="5"/>
      <c r="I86" s="4"/>
    </row>
    <row r="87">
      <c r="A87" s="4"/>
      <c r="B87" s="5"/>
      <c r="C87" s="4"/>
      <c r="D87" s="4"/>
      <c r="E87" s="4"/>
      <c r="F87" s="4"/>
      <c r="G87" s="5"/>
      <c r="H87" s="5"/>
      <c r="I87" s="4"/>
    </row>
    <row r="88">
      <c r="A88" s="4"/>
      <c r="B88" s="5"/>
      <c r="C88" s="4"/>
      <c r="D88" s="4"/>
      <c r="E88" s="4"/>
      <c r="F88" s="4"/>
      <c r="G88" s="5"/>
      <c r="H88" s="5"/>
      <c r="I88" s="4"/>
    </row>
    <row r="89">
      <c r="A89" s="4"/>
      <c r="B89" s="5"/>
      <c r="C89" s="4"/>
      <c r="D89" s="4"/>
      <c r="E89" s="4"/>
      <c r="F89" s="4"/>
      <c r="G89" s="5"/>
      <c r="H89" s="5"/>
      <c r="I89" s="4"/>
    </row>
    <row r="90">
      <c r="A90" s="4"/>
      <c r="B90" s="5"/>
      <c r="C90" s="4"/>
      <c r="D90" s="4"/>
      <c r="E90" s="4"/>
      <c r="F90" s="4"/>
      <c r="G90" s="5"/>
      <c r="H90" s="5"/>
      <c r="I90" s="4"/>
    </row>
    <row r="91">
      <c r="A91" s="4"/>
      <c r="B91" s="5"/>
      <c r="C91" s="4"/>
      <c r="D91" s="4"/>
      <c r="E91" s="4"/>
      <c r="F91" s="4"/>
      <c r="G91" s="5"/>
      <c r="H91" s="5"/>
      <c r="I91" s="4"/>
    </row>
    <row r="92">
      <c r="A92" s="4"/>
      <c r="B92" s="5"/>
      <c r="C92" s="4"/>
      <c r="D92" s="4"/>
      <c r="E92" s="4"/>
      <c r="F92" s="4"/>
      <c r="G92" s="5"/>
      <c r="H92" s="5"/>
      <c r="I92" s="4"/>
    </row>
    <row r="93">
      <c r="A93" s="4"/>
      <c r="B93" s="5"/>
      <c r="C93" s="4"/>
      <c r="D93" s="4"/>
      <c r="E93" s="4"/>
      <c r="F93" s="4"/>
      <c r="G93" s="5"/>
      <c r="H93" s="5"/>
      <c r="I93" s="4"/>
    </row>
    <row r="94">
      <c r="A94" s="4"/>
      <c r="B94" s="5"/>
      <c r="C94" s="4"/>
      <c r="D94" s="4"/>
      <c r="E94" s="4"/>
      <c r="F94" s="4"/>
      <c r="G94" s="5"/>
      <c r="H94" s="5"/>
      <c r="I94" s="4"/>
    </row>
    <row r="95">
      <c r="A95" s="4"/>
      <c r="B95" s="5"/>
      <c r="C95" s="4"/>
      <c r="D95" s="4"/>
      <c r="E95" s="4"/>
      <c r="F95" s="4"/>
      <c r="G95" s="5"/>
      <c r="H95" s="5"/>
      <c r="I95" s="4"/>
    </row>
    <row r="96">
      <c r="A96" s="4"/>
      <c r="B96" s="5"/>
      <c r="C96" s="4"/>
      <c r="D96" s="4"/>
      <c r="E96" s="4"/>
      <c r="F96" s="4"/>
      <c r="G96" s="5"/>
      <c r="H96" s="5"/>
      <c r="I96" s="4"/>
    </row>
    <row r="97">
      <c r="A97" s="4"/>
      <c r="B97" s="5"/>
      <c r="C97" s="4"/>
      <c r="D97" s="4"/>
      <c r="E97" s="4"/>
      <c r="F97" s="4"/>
      <c r="G97" s="5"/>
      <c r="H97" s="5"/>
      <c r="I97" s="4"/>
    </row>
    <row r="98">
      <c r="A98" s="4"/>
      <c r="B98" s="5"/>
      <c r="C98" s="4"/>
      <c r="D98" s="4"/>
      <c r="E98" s="4"/>
      <c r="F98" s="4"/>
      <c r="G98" s="5"/>
      <c r="H98" s="5"/>
      <c r="I98" s="4"/>
    </row>
    <row r="99">
      <c r="A99" s="4"/>
      <c r="B99" s="5"/>
      <c r="C99" s="4"/>
      <c r="D99" s="4"/>
      <c r="E99" s="4"/>
      <c r="F99" s="4"/>
      <c r="G99" s="5"/>
      <c r="H99" s="5"/>
      <c r="I99" s="4"/>
    </row>
    <row r="100">
      <c r="A100" s="4"/>
      <c r="B100" s="5"/>
      <c r="C100" s="4"/>
      <c r="D100" s="4"/>
      <c r="E100" s="4"/>
      <c r="F100" s="4"/>
      <c r="G100" s="5"/>
      <c r="H100" s="5"/>
      <c r="I100" s="4"/>
    </row>
    <row r="101">
      <c r="A101" s="4"/>
      <c r="B101" s="5"/>
      <c r="C101" s="4"/>
      <c r="D101" s="4"/>
      <c r="E101" s="4"/>
      <c r="F101" s="4"/>
      <c r="G101" s="5"/>
      <c r="H101" s="5"/>
      <c r="I101" s="4"/>
    </row>
    <row r="102">
      <c r="A102" s="4"/>
      <c r="B102" s="5"/>
      <c r="C102" s="4"/>
      <c r="D102" s="4"/>
      <c r="E102" s="4"/>
      <c r="F102" s="4"/>
      <c r="G102" s="5"/>
      <c r="H102" s="5"/>
      <c r="I102" s="4"/>
    </row>
    <row r="103">
      <c r="A103" s="4"/>
      <c r="B103" s="5"/>
      <c r="C103" s="4"/>
      <c r="D103" s="4"/>
      <c r="E103" s="4"/>
      <c r="F103" s="4"/>
      <c r="G103" s="5"/>
      <c r="H103" s="5"/>
      <c r="I103" s="4"/>
    </row>
    <row r="104">
      <c r="A104" s="4"/>
      <c r="B104" s="5"/>
      <c r="C104" s="4"/>
      <c r="D104" s="4"/>
      <c r="E104" s="4"/>
      <c r="F104" s="4"/>
      <c r="G104" s="5"/>
      <c r="H104" s="5"/>
      <c r="I104" s="4"/>
    </row>
    <row r="105">
      <c r="A105" s="4"/>
      <c r="B105" s="5"/>
      <c r="C105" s="4"/>
      <c r="D105" s="4"/>
      <c r="E105" s="4"/>
      <c r="F105" s="4"/>
      <c r="G105" s="5"/>
      <c r="H105" s="5"/>
      <c r="I105" s="4"/>
    </row>
    <row r="106">
      <c r="A106" s="4"/>
      <c r="B106" s="5"/>
      <c r="C106" s="4"/>
      <c r="D106" s="4"/>
      <c r="E106" s="4"/>
      <c r="F106" s="4"/>
      <c r="G106" s="5"/>
      <c r="H106" s="5"/>
      <c r="I106" s="4"/>
    </row>
    <row r="107">
      <c r="A107" s="4"/>
      <c r="B107" s="5"/>
      <c r="C107" s="4"/>
      <c r="D107" s="4"/>
      <c r="E107" s="4"/>
      <c r="F107" s="4"/>
      <c r="G107" s="5"/>
      <c r="H107" s="5"/>
      <c r="I107" s="4"/>
    </row>
    <row r="108">
      <c r="A108" s="4"/>
      <c r="B108" s="5"/>
      <c r="C108" s="4"/>
      <c r="D108" s="4"/>
      <c r="E108" s="4"/>
      <c r="F108" s="4"/>
      <c r="G108" s="5"/>
      <c r="H108" s="5"/>
      <c r="I108" s="4"/>
    </row>
    <row r="109">
      <c r="A109" s="4"/>
      <c r="B109" s="5"/>
      <c r="C109" s="4"/>
      <c r="D109" s="4"/>
      <c r="E109" s="4"/>
      <c r="F109" s="4"/>
      <c r="G109" s="5"/>
      <c r="H109" s="5"/>
      <c r="I109" s="4"/>
    </row>
    <row r="110">
      <c r="A110" s="4"/>
      <c r="B110" s="5"/>
      <c r="C110" s="4"/>
      <c r="D110" s="4"/>
      <c r="E110" s="4"/>
      <c r="F110" s="4"/>
      <c r="G110" s="5"/>
      <c r="H110" s="5"/>
      <c r="I110" s="4"/>
    </row>
    <row r="111">
      <c r="A111" s="4"/>
      <c r="B111" s="5"/>
      <c r="C111" s="4"/>
      <c r="D111" s="4"/>
      <c r="E111" s="4"/>
      <c r="F111" s="4"/>
      <c r="G111" s="5"/>
      <c r="H111" s="5"/>
      <c r="I111" s="4"/>
    </row>
    <row r="112">
      <c r="A112" s="4"/>
      <c r="B112" s="5"/>
      <c r="C112" s="4"/>
      <c r="D112" s="4"/>
      <c r="E112" s="4"/>
      <c r="F112" s="4"/>
      <c r="G112" s="5"/>
      <c r="H112" s="5"/>
      <c r="I112" s="4"/>
    </row>
    <row r="113">
      <c r="A113" s="4"/>
      <c r="B113" s="5"/>
      <c r="C113" s="4"/>
      <c r="D113" s="4"/>
      <c r="E113" s="4"/>
      <c r="F113" s="4"/>
      <c r="G113" s="5"/>
      <c r="H113" s="5"/>
      <c r="I113" s="4"/>
    </row>
    <row r="114">
      <c r="A114" s="4"/>
      <c r="B114" s="5"/>
      <c r="C114" s="4"/>
      <c r="D114" s="4"/>
      <c r="E114" s="4"/>
      <c r="F114" s="4"/>
      <c r="G114" s="5"/>
      <c r="H114" s="5"/>
      <c r="I114" s="4"/>
    </row>
    <row r="115">
      <c r="A115" s="4"/>
      <c r="B115" s="5"/>
      <c r="C115" s="4"/>
      <c r="D115" s="4"/>
      <c r="E115" s="4"/>
      <c r="F115" s="4"/>
      <c r="G115" s="5"/>
      <c r="H115" s="5"/>
      <c r="I115" s="4"/>
    </row>
    <row r="116">
      <c r="A116" s="4"/>
      <c r="B116" s="5"/>
      <c r="C116" s="4"/>
      <c r="D116" s="4"/>
      <c r="E116" s="4"/>
      <c r="F116" s="4"/>
      <c r="G116" s="5"/>
      <c r="H116" s="5"/>
      <c r="I116" s="4"/>
    </row>
    <row r="117">
      <c r="A117" s="4"/>
      <c r="B117" s="5"/>
      <c r="C117" s="4"/>
      <c r="D117" s="4"/>
      <c r="E117" s="4"/>
      <c r="F117" s="4"/>
      <c r="G117" s="5"/>
      <c r="H117" s="5"/>
      <c r="I117" s="4"/>
    </row>
    <row r="118">
      <c r="A118" s="4"/>
      <c r="B118" s="5"/>
      <c r="C118" s="4"/>
      <c r="D118" s="4"/>
      <c r="E118" s="4"/>
      <c r="F118" s="4"/>
      <c r="G118" s="5"/>
      <c r="H118" s="5"/>
      <c r="I118" s="4"/>
    </row>
    <row r="119">
      <c r="A119" s="4"/>
      <c r="B119" s="5"/>
      <c r="C119" s="4"/>
      <c r="D119" s="4"/>
      <c r="E119" s="4"/>
      <c r="F119" s="4"/>
      <c r="G119" s="5"/>
      <c r="H119" s="5"/>
      <c r="I119" s="4"/>
    </row>
    <row r="120">
      <c r="A120" s="4"/>
      <c r="B120" s="5"/>
      <c r="C120" s="4"/>
      <c r="D120" s="4"/>
      <c r="E120" s="4"/>
      <c r="F120" s="4"/>
      <c r="G120" s="5"/>
      <c r="H120" s="5"/>
      <c r="I120" s="4"/>
    </row>
    <row r="121">
      <c r="A121" s="4"/>
      <c r="B121" s="5"/>
      <c r="C121" s="4"/>
      <c r="D121" s="4"/>
      <c r="E121" s="4"/>
      <c r="F121" s="4"/>
      <c r="G121" s="5"/>
      <c r="H121" s="5"/>
      <c r="I121" s="4"/>
    </row>
    <row r="122">
      <c r="A122" s="4"/>
      <c r="B122" s="5"/>
      <c r="C122" s="4"/>
      <c r="D122" s="4"/>
      <c r="E122" s="4"/>
      <c r="F122" s="4"/>
      <c r="G122" s="5"/>
      <c r="H122" s="5"/>
      <c r="I122" s="4"/>
    </row>
    <row r="123">
      <c r="A123" s="4"/>
      <c r="B123" s="5"/>
      <c r="C123" s="4"/>
      <c r="D123" s="4"/>
      <c r="E123" s="4"/>
      <c r="F123" s="4"/>
      <c r="G123" s="5"/>
      <c r="H123" s="5"/>
      <c r="I123" s="4"/>
    </row>
    <row r="124">
      <c r="A124" s="4"/>
      <c r="B124" s="5"/>
      <c r="C124" s="4"/>
      <c r="D124" s="4"/>
      <c r="E124" s="4"/>
      <c r="F124" s="4"/>
      <c r="G124" s="5"/>
      <c r="H124" s="5"/>
      <c r="I124" s="4"/>
    </row>
    <row r="125">
      <c r="A125" s="4"/>
      <c r="B125" s="5"/>
      <c r="C125" s="4"/>
      <c r="D125" s="4"/>
      <c r="E125" s="4"/>
      <c r="F125" s="4"/>
      <c r="G125" s="5"/>
      <c r="H125" s="5"/>
      <c r="I125" s="4"/>
    </row>
    <row r="126">
      <c r="A126" s="4"/>
      <c r="B126" s="5"/>
      <c r="C126" s="4"/>
      <c r="D126" s="4"/>
      <c r="E126" s="4"/>
      <c r="F126" s="4"/>
      <c r="G126" s="5"/>
      <c r="H126" s="5"/>
      <c r="I126" s="4"/>
    </row>
    <row r="127">
      <c r="A127" s="4"/>
      <c r="B127" s="5"/>
      <c r="C127" s="4"/>
      <c r="D127" s="4"/>
      <c r="E127" s="4"/>
      <c r="F127" s="4"/>
      <c r="G127" s="5"/>
      <c r="H127" s="5"/>
      <c r="I127" s="4"/>
    </row>
  </sheetData>
  <mergeCells count="8">
    <mergeCell ref="C1:D2"/>
    <mergeCell ref="C3:E3"/>
    <mergeCell ref="D5:E5"/>
    <mergeCell ref="D7:E7"/>
    <mergeCell ref="D10:E10"/>
    <mergeCell ref="D11:E11"/>
    <mergeCell ref="D12:E12"/>
    <mergeCell ref="C15:D15"/>
  </mergeCells>
  <dataValidations>
    <dataValidation type="list" allowBlank="1" sqref="C17:C26">
      <formula1>"Admin Dashboard,Knowledge Base,Chat Widget"</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63"/>
    <col customWidth="1" min="2" max="2" width="20.0"/>
    <col customWidth="1" min="3" max="3" width="19.25"/>
    <col customWidth="1" min="4" max="4" width="31.0"/>
    <col customWidth="1" min="5" max="6" width="37.63"/>
    <col customWidth="1" min="7" max="7" width="14.13"/>
    <col customWidth="1" min="8" max="8" width="16.5"/>
    <col customWidth="1" min="9" max="9" width="25.38"/>
    <col customWidth="1" min="10" max="17" width="11.0"/>
  </cols>
  <sheetData>
    <row r="1">
      <c r="A1" s="9"/>
      <c r="B1" s="9"/>
      <c r="C1" s="3" t="s">
        <v>6</v>
      </c>
      <c r="E1" s="4"/>
      <c r="F1" s="4"/>
      <c r="G1" s="5"/>
      <c r="H1" s="5"/>
      <c r="I1" s="4"/>
      <c r="J1" s="4"/>
      <c r="K1" s="4"/>
      <c r="L1" s="4"/>
      <c r="M1" s="4"/>
      <c r="N1" s="4"/>
      <c r="O1" s="4"/>
      <c r="P1" s="4"/>
      <c r="Q1" s="4"/>
      <c r="R1" s="4"/>
      <c r="S1" s="4"/>
      <c r="T1" s="4"/>
      <c r="U1" s="4"/>
      <c r="V1" s="4"/>
      <c r="W1" s="4"/>
      <c r="X1" s="4"/>
      <c r="Y1" s="4"/>
      <c r="Z1" s="4"/>
      <c r="AA1" s="4"/>
      <c r="AB1" s="4"/>
      <c r="AC1" s="4"/>
      <c r="AD1" s="4"/>
      <c r="AE1" s="4"/>
    </row>
    <row r="2">
      <c r="A2" s="4"/>
      <c r="B2" s="5"/>
      <c r="E2" s="16"/>
      <c r="F2" s="4"/>
      <c r="G2" s="5"/>
      <c r="H2" s="5"/>
      <c r="I2" s="4"/>
      <c r="J2" s="4"/>
      <c r="K2" s="4"/>
      <c r="L2" s="4"/>
      <c r="M2" s="4"/>
      <c r="N2" s="4"/>
      <c r="O2" s="4"/>
      <c r="P2" s="4"/>
      <c r="Q2" s="4"/>
      <c r="R2" s="4"/>
      <c r="S2" s="4"/>
      <c r="T2" s="4"/>
      <c r="U2" s="4"/>
      <c r="V2" s="4"/>
      <c r="W2" s="4"/>
      <c r="X2" s="4"/>
      <c r="Y2" s="4"/>
      <c r="Z2" s="4"/>
      <c r="AA2" s="4"/>
      <c r="AB2" s="4"/>
      <c r="AC2" s="4"/>
      <c r="AD2" s="4"/>
      <c r="AE2" s="4"/>
    </row>
    <row r="3">
      <c r="A3" s="4"/>
      <c r="B3" s="5"/>
      <c r="C3" s="8" t="s">
        <v>5</v>
      </c>
      <c r="D3" s="10"/>
      <c r="E3" s="11"/>
      <c r="F3" s="23" t="s">
        <v>17</v>
      </c>
      <c r="G3" s="5"/>
      <c r="H3" s="5"/>
      <c r="I3" s="4"/>
      <c r="J3" s="25" t="s">
        <v>20</v>
      </c>
      <c r="M3" s="4"/>
      <c r="N3" s="4"/>
      <c r="O3" s="4"/>
      <c r="P3" s="4"/>
      <c r="Q3" s="4"/>
      <c r="R3" s="4"/>
      <c r="S3" s="4"/>
      <c r="T3" s="4"/>
      <c r="U3" s="4"/>
      <c r="V3" s="4"/>
      <c r="W3" s="4"/>
      <c r="X3" s="4"/>
      <c r="Y3" s="4"/>
      <c r="Z3" s="4"/>
      <c r="AA3" s="4"/>
      <c r="AB3" s="4"/>
      <c r="AC3" s="4"/>
      <c r="AD3" s="4"/>
      <c r="AE3" s="4"/>
    </row>
    <row r="4" ht="22.5" customHeight="1">
      <c r="A4" s="4"/>
      <c r="B4" s="5"/>
      <c r="C4" s="12"/>
      <c r="D4" s="13"/>
      <c r="E4" s="29"/>
      <c r="F4" s="32" t="s">
        <v>26</v>
      </c>
      <c r="G4" s="5"/>
      <c r="H4" s="5"/>
      <c r="I4" s="36" t="s">
        <v>30</v>
      </c>
      <c r="J4" s="36" t="s">
        <v>34</v>
      </c>
      <c r="K4" s="36" t="s">
        <v>36</v>
      </c>
      <c r="L4" s="36" t="s">
        <v>39</v>
      </c>
      <c r="M4" s="36" t="s">
        <v>40</v>
      </c>
      <c r="N4" s="36" t="s">
        <v>42</v>
      </c>
      <c r="O4" s="36" t="s">
        <v>44</v>
      </c>
      <c r="P4" s="36" t="s">
        <v>45</v>
      </c>
      <c r="Q4" s="36" t="s">
        <v>46</v>
      </c>
      <c r="R4" s="40"/>
      <c r="S4" s="4"/>
      <c r="T4" s="4"/>
      <c r="U4" s="4"/>
      <c r="V4" s="4"/>
      <c r="W4" s="4"/>
      <c r="X4" s="4"/>
      <c r="Y4" s="4"/>
      <c r="Z4" s="4"/>
      <c r="AA4" s="4"/>
      <c r="AB4" s="4"/>
      <c r="AC4" s="4"/>
      <c r="AD4" s="4"/>
      <c r="AE4" s="4"/>
    </row>
    <row r="5" ht="22.5" customHeight="1">
      <c r="A5" s="4"/>
      <c r="B5" s="5"/>
      <c r="C5" s="15" t="s">
        <v>50</v>
      </c>
      <c r="D5" s="17" t="s">
        <v>52</v>
      </c>
      <c r="E5" s="29"/>
      <c r="G5" s="5"/>
      <c r="H5" s="5"/>
      <c r="I5" s="44" t="s">
        <v>55</v>
      </c>
      <c r="J5" s="46"/>
      <c r="K5" s="47"/>
      <c r="L5" s="49"/>
      <c r="M5" s="49"/>
      <c r="N5" s="49"/>
      <c r="O5" s="49"/>
      <c r="P5" s="49"/>
      <c r="Q5" s="49"/>
      <c r="R5" s="4"/>
      <c r="S5" s="4"/>
      <c r="T5" s="4"/>
      <c r="U5" s="4"/>
      <c r="V5" s="4"/>
      <c r="W5" s="4"/>
      <c r="X5" s="4"/>
      <c r="Y5" s="4"/>
      <c r="Z5" s="4"/>
      <c r="AA5" s="4"/>
      <c r="AB5" s="4"/>
      <c r="AC5" s="4"/>
      <c r="AD5" s="4"/>
      <c r="AE5" s="4"/>
    </row>
    <row r="6" ht="22.5" customHeight="1">
      <c r="A6" s="4"/>
      <c r="B6" s="5"/>
      <c r="C6" s="12"/>
      <c r="D6" s="13"/>
      <c r="E6" s="29"/>
      <c r="G6" s="5"/>
      <c r="H6" s="5"/>
      <c r="I6" s="44" t="s">
        <v>84</v>
      </c>
      <c r="J6" s="59"/>
      <c r="K6" s="47"/>
      <c r="L6" s="47"/>
      <c r="M6" s="47"/>
      <c r="N6" s="49"/>
      <c r="O6" s="49"/>
      <c r="P6" s="49"/>
      <c r="Q6" s="49"/>
      <c r="R6" s="4"/>
      <c r="S6" s="4"/>
      <c r="T6" s="4"/>
      <c r="U6" s="4"/>
      <c r="V6" s="4"/>
      <c r="W6" s="4"/>
      <c r="X6" s="4"/>
      <c r="Y6" s="4"/>
      <c r="Z6" s="4"/>
      <c r="AA6" s="4"/>
      <c r="AB6" s="4"/>
      <c r="AC6" s="4"/>
      <c r="AD6" s="4"/>
      <c r="AE6" s="4"/>
    </row>
    <row r="7" ht="22.5" customHeight="1">
      <c r="A7" s="4"/>
      <c r="B7" s="5"/>
      <c r="C7" s="22" t="s">
        <v>93</v>
      </c>
      <c r="D7" s="24" t="s">
        <v>95</v>
      </c>
      <c r="E7" s="11"/>
      <c r="G7" s="5"/>
      <c r="H7" s="5"/>
      <c r="I7" s="44" t="s">
        <v>97</v>
      </c>
      <c r="J7" s="59"/>
      <c r="K7" s="49"/>
      <c r="L7" s="47"/>
      <c r="M7" s="47"/>
      <c r="N7" s="47"/>
      <c r="O7" s="49"/>
      <c r="P7" s="49"/>
      <c r="Q7" s="49"/>
      <c r="R7" s="4"/>
      <c r="S7" s="4"/>
      <c r="T7" s="4"/>
      <c r="U7" s="4"/>
      <c r="V7" s="4"/>
      <c r="W7" s="4"/>
      <c r="X7" s="4"/>
      <c r="Y7" s="4"/>
      <c r="Z7" s="4"/>
      <c r="AA7" s="4"/>
      <c r="AB7" s="4"/>
      <c r="AC7" s="4"/>
      <c r="AD7" s="4"/>
      <c r="AE7" s="4"/>
    </row>
    <row r="8" ht="22.5" customHeight="1">
      <c r="A8" s="4"/>
      <c r="B8" s="5"/>
      <c r="C8" s="22" t="s">
        <v>110</v>
      </c>
      <c r="D8" s="24" t="s">
        <v>112</v>
      </c>
      <c r="E8" s="11"/>
      <c r="F8" s="68"/>
      <c r="G8" s="5"/>
      <c r="H8" s="5"/>
      <c r="I8" s="44" t="s">
        <v>114</v>
      </c>
      <c r="J8" s="59"/>
      <c r="K8" s="49"/>
      <c r="L8" s="49"/>
      <c r="M8" s="49"/>
      <c r="N8" s="47"/>
      <c r="O8" s="47"/>
      <c r="P8" s="47"/>
      <c r="Q8" s="49"/>
      <c r="R8" s="4"/>
      <c r="S8" s="4"/>
      <c r="T8" s="4"/>
      <c r="U8" s="4"/>
      <c r="V8" s="4"/>
      <c r="W8" s="4"/>
      <c r="X8" s="4"/>
      <c r="Y8" s="4"/>
      <c r="Z8" s="4"/>
      <c r="AA8" s="4"/>
      <c r="AB8" s="4"/>
      <c r="AC8" s="4"/>
      <c r="AD8" s="4"/>
      <c r="AE8" s="4"/>
    </row>
    <row r="9" ht="22.5" customHeight="1">
      <c r="A9" s="4"/>
      <c r="B9" s="5"/>
      <c r="C9" s="22" t="s">
        <v>125</v>
      </c>
      <c r="D9" s="24" t="s">
        <v>127</v>
      </c>
      <c r="E9" s="11"/>
      <c r="F9" s="4"/>
      <c r="G9" s="5"/>
      <c r="H9" s="5"/>
      <c r="I9" s="44" t="s">
        <v>131</v>
      </c>
      <c r="J9" s="59"/>
      <c r="K9" s="49"/>
      <c r="L9" s="49"/>
      <c r="M9" s="49"/>
      <c r="N9" s="49"/>
      <c r="O9" s="47"/>
      <c r="P9" s="47"/>
      <c r="Q9" s="47"/>
      <c r="R9" s="4"/>
      <c r="S9" s="4"/>
      <c r="T9" s="4"/>
      <c r="U9" s="4"/>
      <c r="V9" s="4"/>
      <c r="W9" s="4"/>
      <c r="X9" s="4"/>
      <c r="Y9" s="4"/>
      <c r="Z9" s="4"/>
      <c r="AA9" s="4"/>
      <c r="AB9" s="4"/>
      <c r="AC9" s="4"/>
      <c r="AD9" s="4"/>
      <c r="AE9" s="4"/>
    </row>
    <row r="10" ht="22.5" customHeight="1">
      <c r="A10" s="4"/>
      <c r="B10" s="5"/>
      <c r="C10" s="12"/>
      <c r="D10" s="13"/>
      <c r="E10" s="29"/>
      <c r="F10" s="4"/>
      <c r="G10" s="5"/>
      <c r="H10" s="5"/>
      <c r="I10" s="69" t="s">
        <v>143</v>
      </c>
      <c r="J10" s="70"/>
      <c r="K10" s="71"/>
      <c r="L10" s="71"/>
      <c r="M10" s="71"/>
      <c r="N10" s="71"/>
      <c r="O10" s="71"/>
      <c r="P10" s="71"/>
      <c r="Q10" s="72"/>
      <c r="R10" s="4"/>
      <c r="S10" s="4"/>
      <c r="T10" s="4"/>
      <c r="U10" s="4"/>
      <c r="V10" s="4"/>
      <c r="W10" s="4"/>
      <c r="X10" s="4"/>
      <c r="Y10" s="4"/>
      <c r="Z10" s="4"/>
      <c r="AA10" s="4"/>
      <c r="AB10" s="4"/>
      <c r="AC10" s="4"/>
      <c r="AD10" s="4"/>
      <c r="AE10" s="4"/>
    </row>
    <row r="11" ht="22.5" customHeight="1">
      <c r="A11" s="4"/>
      <c r="B11" s="5"/>
      <c r="C11" s="27" t="s">
        <v>23</v>
      </c>
      <c r="D11" s="13"/>
      <c r="E11" s="29"/>
      <c r="F11" s="4"/>
      <c r="G11" s="5"/>
      <c r="H11" s="5"/>
      <c r="I11" s="49"/>
      <c r="J11" s="49"/>
      <c r="K11" s="49"/>
      <c r="L11" s="49"/>
      <c r="M11" s="49"/>
      <c r="N11" s="49"/>
      <c r="O11" s="49"/>
      <c r="P11" s="49"/>
      <c r="Q11" s="49"/>
      <c r="R11" s="4"/>
      <c r="S11" s="4"/>
      <c r="T11" s="4"/>
      <c r="U11" s="4"/>
      <c r="V11" s="4"/>
      <c r="W11" s="4"/>
      <c r="X11" s="4"/>
      <c r="Y11" s="4"/>
      <c r="Z11" s="4"/>
      <c r="AA11" s="4"/>
      <c r="AB11" s="4"/>
      <c r="AC11" s="4"/>
      <c r="AD11" s="4"/>
      <c r="AE11" s="4"/>
    </row>
    <row r="12">
      <c r="A12" s="4"/>
      <c r="B12" s="5"/>
      <c r="C12" s="73"/>
      <c r="D12" s="33" t="s">
        <v>27</v>
      </c>
      <c r="E12" s="35"/>
      <c r="F12" s="4"/>
      <c r="G12" s="5"/>
      <c r="H12" s="5"/>
      <c r="I12" s="4"/>
      <c r="J12" s="4"/>
      <c r="K12" s="4"/>
      <c r="L12" s="4"/>
      <c r="M12" s="4"/>
      <c r="N12" s="4"/>
      <c r="O12" s="4"/>
      <c r="P12" s="4"/>
      <c r="Q12" s="4"/>
      <c r="R12" s="4"/>
      <c r="S12" s="4"/>
      <c r="T12" s="4"/>
      <c r="U12" s="4"/>
      <c r="V12" s="4"/>
      <c r="W12" s="4"/>
      <c r="X12" s="4"/>
      <c r="Y12" s="4"/>
      <c r="Z12" s="4"/>
      <c r="AA12" s="4"/>
      <c r="AB12" s="4"/>
      <c r="AC12" s="4"/>
      <c r="AD12" s="4"/>
      <c r="AE12" s="4"/>
    </row>
    <row r="13">
      <c r="A13" s="4"/>
      <c r="B13" s="5"/>
      <c r="C13" s="73"/>
      <c r="D13" s="33" t="s">
        <v>32</v>
      </c>
      <c r="E13" s="35"/>
      <c r="F13" s="4"/>
      <c r="G13" s="5"/>
      <c r="H13" s="5"/>
      <c r="I13" s="4"/>
      <c r="J13" s="4"/>
      <c r="K13" s="4"/>
      <c r="L13" s="4"/>
      <c r="M13" s="4"/>
      <c r="N13" s="4"/>
      <c r="O13" s="4"/>
      <c r="P13" s="4"/>
      <c r="Q13" s="4"/>
      <c r="R13" s="4"/>
      <c r="S13" s="4"/>
      <c r="T13" s="4"/>
      <c r="U13" s="4"/>
      <c r="V13" s="4"/>
      <c r="W13" s="4"/>
      <c r="X13" s="4"/>
      <c r="Y13" s="4"/>
      <c r="Z13" s="4"/>
      <c r="AA13" s="4"/>
      <c r="AB13" s="4"/>
      <c r="AC13" s="4"/>
      <c r="AD13" s="4"/>
      <c r="AE13" s="4"/>
    </row>
    <row r="14">
      <c r="A14" s="4"/>
      <c r="B14" s="5"/>
      <c r="C14" s="73"/>
      <c r="D14" s="33" t="s">
        <v>35</v>
      </c>
      <c r="E14" s="35"/>
      <c r="F14" s="4"/>
      <c r="G14" s="5"/>
      <c r="H14" s="5"/>
      <c r="I14" s="4"/>
      <c r="J14" s="4"/>
      <c r="K14" s="4"/>
      <c r="L14" s="4"/>
      <c r="M14" s="4"/>
      <c r="N14" s="4"/>
      <c r="O14" s="4"/>
      <c r="P14" s="4"/>
      <c r="Q14" s="4"/>
      <c r="R14" s="4"/>
      <c r="S14" s="4"/>
      <c r="T14" s="4"/>
      <c r="U14" s="4"/>
      <c r="V14" s="4"/>
      <c r="W14" s="4"/>
      <c r="X14" s="4"/>
      <c r="Y14" s="4"/>
      <c r="Z14" s="4"/>
      <c r="AA14" s="4"/>
      <c r="AB14" s="4"/>
      <c r="AC14" s="4"/>
      <c r="AD14" s="4"/>
      <c r="AE14" s="4"/>
    </row>
    <row r="15">
      <c r="A15" s="4"/>
      <c r="B15" s="5"/>
      <c r="C15" s="73"/>
      <c r="D15" s="33" t="s">
        <v>41</v>
      </c>
      <c r="E15" s="35"/>
      <c r="F15" s="4"/>
      <c r="G15" s="5"/>
      <c r="H15" s="5"/>
      <c r="I15" s="4"/>
      <c r="J15" s="4"/>
      <c r="K15" s="4"/>
      <c r="L15" s="4"/>
      <c r="M15" s="4"/>
      <c r="N15" s="4"/>
      <c r="O15" s="4"/>
      <c r="P15" s="4"/>
      <c r="Q15" s="4"/>
      <c r="R15" s="4"/>
      <c r="S15" s="4"/>
      <c r="T15" s="4"/>
      <c r="U15" s="4"/>
      <c r="V15" s="4"/>
      <c r="W15" s="4"/>
      <c r="X15" s="4"/>
      <c r="Y15" s="4"/>
      <c r="Z15" s="4"/>
      <c r="AA15" s="4"/>
      <c r="AB15" s="4"/>
      <c r="AC15" s="4"/>
      <c r="AD15" s="4"/>
      <c r="AE15" s="4"/>
    </row>
    <row r="16">
      <c r="A16" s="4"/>
      <c r="B16" s="5"/>
      <c r="C16" s="37"/>
      <c r="D16" s="38"/>
      <c r="E16" s="39"/>
      <c r="F16" s="4"/>
      <c r="G16" s="5"/>
      <c r="H16" s="5"/>
      <c r="I16" s="4"/>
      <c r="J16" s="4"/>
      <c r="K16" s="4"/>
      <c r="L16" s="4"/>
      <c r="M16" s="4"/>
      <c r="N16" s="4"/>
      <c r="O16" s="4"/>
      <c r="P16" s="4"/>
      <c r="Q16" s="4"/>
      <c r="R16" s="4"/>
      <c r="S16" s="4"/>
      <c r="T16" s="4"/>
      <c r="U16" s="4"/>
      <c r="V16" s="4"/>
      <c r="W16" s="4"/>
      <c r="X16" s="4"/>
      <c r="Y16" s="4"/>
      <c r="Z16" s="4"/>
      <c r="AA16" s="4"/>
      <c r="AB16" s="4"/>
      <c r="AC16" s="4"/>
      <c r="AD16" s="4"/>
      <c r="AE16" s="4"/>
    </row>
    <row r="17">
      <c r="A17" s="4"/>
      <c r="B17" s="5"/>
      <c r="C17" s="4"/>
      <c r="D17" s="4"/>
      <c r="E17" s="4"/>
      <c r="F17" s="4"/>
      <c r="G17" s="5"/>
      <c r="H17" s="5"/>
      <c r="I17" s="4"/>
      <c r="J17" s="4"/>
      <c r="K17" s="4"/>
      <c r="L17" s="4"/>
      <c r="M17" s="4"/>
      <c r="N17" s="4"/>
      <c r="O17" s="4"/>
      <c r="P17" s="4"/>
      <c r="Q17" s="4"/>
      <c r="R17" s="4"/>
      <c r="S17" s="4"/>
      <c r="T17" s="4"/>
      <c r="U17" s="4"/>
      <c r="V17" s="4"/>
      <c r="W17" s="4"/>
      <c r="X17" s="4"/>
      <c r="Y17" s="4"/>
      <c r="Z17" s="4"/>
      <c r="AA17" s="4"/>
      <c r="AB17" s="4"/>
      <c r="AC17" s="4"/>
      <c r="AD17" s="4"/>
      <c r="AE17" s="4"/>
    </row>
    <row r="18">
      <c r="A18" s="4"/>
      <c r="B18" s="5"/>
      <c r="C18" s="4"/>
      <c r="D18" s="4"/>
      <c r="E18" s="4"/>
      <c r="F18" s="4"/>
      <c r="G18" s="5"/>
      <c r="H18" s="5"/>
      <c r="I18" s="4"/>
      <c r="J18" s="4"/>
      <c r="K18" s="4"/>
      <c r="L18" s="4"/>
      <c r="M18" s="4"/>
      <c r="N18" s="4"/>
      <c r="O18" s="4"/>
      <c r="P18" s="4"/>
      <c r="Q18" s="4"/>
      <c r="R18" s="4"/>
      <c r="S18" s="4"/>
      <c r="T18" s="4"/>
      <c r="U18" s="4"/>
      <c r="V18" s="4"/>
      <c r="W18" s="4"/>
      <c r="X18" s="4"/>
      <c r="Y18" s="4"/>
      <c r="Z18" s="4"/>
      <c r="AA18" s="4"/>
      <c r="AB18" s="4"/>
      <c r="AC18" s="4"/>
      <c r="AD18" s="4"/>
      <c r="AE18" s="4"/>
    </row>
    <row r="19">
      <c r="A19" s="4"/>
      <c r="B19" s="74"/>
      <c r="C19" s="75" t="s">
        <v>172</v>
      </c>
      <c r="E19" s="74"/>
      <c r="F19" s="74"/>
      <c r="G19" s="74"/>
      <c r="H19" s="74"/>
      <c r="I19" s="4"/>
      <c r="J19" s="4"/>
      <c r="K19" s="4"/>
      <c r="L19" s="4"/>
      <c r="M19" s="4"/>
      <c r="N19" s="4"/>
      <c r="O19" s="4"/>
      <c r="P19" s="4"/>
      <c r="Q19" s="4"/>
      <c r="R19" s="4"/>
      <c r="S19" s="4"/>
      <c r="T19" s="4"/>
      <c r="U19" s="4"/>
      <c r="V19" s="4"/>
      <c r="W19" s="4"/>
      <c r="X19" s="4"/>
      <c r="Y19" s="4"/>
      <c r="Z19" s="4"/>
      <c r="AA19" s="4"/>
      <c r="AB19" s="4"/>
      <c r="AC19" s="4"/>
      <c r="AD19" s="4"/>
      <c r="AE19" s="4"/>
    </row>
    <row r="20" ht="22.5" customHeight="1">
      <c r="A20" s="4"/>
      <c r="B20" s="43" t="s">
        <v>173</v>
      </c>
      <c r="C20" s="42" t="s">
        <v>175</v>
      </c>
      <c r="D20" s="43" t="s">
        <v>176</v>
      </c>
      <c r="E20" s="43" t="s">
        <v>177</v>
      </c>
      <c r="F20" s="43" t="s">
        <v>178</v>
      </c>
      <c r="G20" s="74"/>
      <c r="H20" s="74"/>
      <c r="I20" s="4"/>
      <c r="J20" s="4"/>
      <c r="K20" s="4"/>
      <c r="L20" s="4"/>
      <c r="M20" s="4"/>
      <c r="N20" s="4"/>
      <c r="O20" s="4"/>
      <c r="P20" s="4"/>
      <c r="Q20" s="4"/>
      <c r="R20" s="4"/>
      <c r="S20" s="4"/>
      <c r="T20" s="4"/>
      <c r="U20" s="4"/>
      <c r="V20" s="4"/>
      <c r="W20" s="4"/>
      <c r="X20" s="4"/>
      <c r="Y20" s="4"/>
      <c r="Z20" s="4"/>
      <c r="AA20" s="4"/>
      <c r="AB20" s="4"/>
      <c r="AC20" s="4"/>
      <c r="AD20" s="4"/>
      <c r="AE20" s="4"/>
    </row>
    <row r="21" ht="22.5" customHeight="1">
      <c r="A21" s="4"/>
      <c r="B21" s="31" t="s">
        <v>181</v>
      </c>
      <c r="C21" s="76">
        <v>1.0</v>
      </c>
      <c r="D21" s="34" t="s">
        <v>182</v>
      </c>
      <c r="E21" s="34" t="s">
        <v>183</v>
      </c>
      <c r="F21" s="34" t="s">
        <v>184</v>
      </c>
      <c r="G21" s="74"/>
      <c r="H21" s="74"/>
      <c r="I21" s="4"/>
      <c r="J21" s="4"/>
      <c r="K21" s="4"/>
      <c r="L21" s="4"/>
      <c r="M21" s="4"/>
      <c r="N21" s="4"/>
      <c r="O21" s="4"/>
      <c r="P21" s="4"/>
      <c r="Q21" s="4"/>
      <c r="R21" s="4"/>
      <c r="S21" s="4"/>
      <c r="T21" s="4"/>
      <c r="U21" s="4"/>
      <c r="V21" s="4"/>
      <c r="W21" s="4"/>
      <c r="X21" s="4"/>
      <c r="Y21" s="4"/>
      <c r="Z21" s="4"/>
      <c r="AA21" s="4"/>
      <c r="AB21" s="4"/>
      <c r="AC21" s="4"/>
      <c r="AD21" s="4"/>
      <c r="AE21" s="4"/>
    </row>
    <row r="22" ht="22.5" customHeight="1">
      <c r="A22" s="4"/>
      <c r="B22" s="31" t="s">
        <v>188</v>
      </c>
      <c r="C22" s="76">
        <v>1.0</v>
      </c>
      <c r="D22" s="34" t="s">
        <v>189</v>
      </c>
      <c r="E22" s="34" t="s">
        <v>190</v>
      </c>
      <c r="F22" s="34" t="s">
        <v>191</v>
      </c>
      <c r="G22" s="74"/>
      <c r="H22" s="74"/>
      <c r="I22" s="4"/>
      <c r="J22" s="4"/>
      <c r="K22" s="4"/>
      <c r="L22" s="4"/>
      <c r="M22" s="4"/>
      <c r="N22" s="4"/>
      <c r="O22" s="4"/>
      <c r="P22" s="4"/>
      <c r="Q22" s="4"/>
      <c r="R22" s="4"/>
      <c r="S22" s="4"/>
      <c r="T22" s="4"/>
      <c r="U22" s="4"/>
      <c r="V22" s="4"/>
      <c r="W22" s="4"/>
      <c r="X22" s="4"/>
      <c r="Y22" s="4"/>
      <c r="Z22" s="4"/>
      <c r="AA22" s="4"/>
      <c r="AB22" s="4"/>
      <c r="AC22" s="4"/>
      <c r="AD22" s="4"/>
      <c r="AE22" s="4"/>
    </row>
    <row r="23" ht="22.5" customHeight="1">
      <c r="A23" s="4"/>
      <c r="B23" s="31" t="s">
        <v>192</v>
      </c>
      <c r="C23" s="76">
        <v>1.0</v>
      </c>
      <c r="D23" s="34" t="s">
        <v>182</v>
      </c>
      <c r="E23" s="34" t="s">
        <v>195</v>
      </c>
      <c r="F23" s="34" t="s">
        <v>197</v>
      </c>
      <c r="G23" s="74"/>
      <c r="H23" s="74"/>
      <c r="I23" s="4"/>
      <c r="J23" s="4"/>
      <c r="K23" s="4"/>
      <c r="L23" s="4"/>
      <c r="M23" s="4"/>
      <c r="N23" s="4"/>
      <c r="O23" s="4"/>
      <c r="P23" s="4"/>
      <c r="Q23" s="4"/>
      <c r="R23" s="4"/>
      <c r="S23" s="4"/>
      <c r="T23" s="4"/>
      <c r="U23" s="4"/>
      <c r="V23" s="4"/>
      <c r="W23" s="4"/>
      <c r="X23" s="4"/>
      <c r="Y23" s="4"/>
      <c r="Z23" s="4"/>
      <c r="AA23" s="4"/>
      <c r="AB23" s="4"/>
      <c r="AC23" s="4"/>
      <c r="AD23" s="4"/>
      <c r="AE23" s="4"/>
    </row>
    <row r="24" ht="22.5" customHeight="1">
      <c r="A24" s="4"/>
      <c r="B24" s="31" t="s">
        <v>199</v>
      </c>
      <c r="C24" s="76">
        <v>1.0</v>
      </c>
      <c r="D24" s="34" t="s">
        <v>182</v>
      </c>
      <c r="E24" s="34" t="s">
        <v>200</v>
      </c>
      <c r="F24" s="34" t="s">
        <v>201</v>
      </c>
      <c r="G24" s="74"/>
      <c r="H24" s="74"/>
      <c r="I24" s="4"/>
      <c r="J24" s="4"/>
      <c r="K24" s="4"/>
      <c r="L24" s="4"/>
      <c r="M24" s="4"/>
      <c r="N24" s="4"/>
      <c r="O24" s="4"/>
      <c r="P24" s="4"/>
      <c r="Q24" s="4"/>
      <c r="R24" s="4"/>
      <c r="S24" s="4"/>
      <c r="T24" s="4"/>
      <c r="U24" s="4"/>
      <c r="V24" s="4"/>
      <c r="W24" s="4"/>
      <c r="X24" s="4"/>
      <c r="Y24" s="4"/>
      <c r="Z24" s="4"/>
      <c r="AA24" s="4"/>
      <c r="AB24" s="4"/>
      <c r="AC24" s="4"/>
      <c r="AD24" s="4"/>
      <c r="AE24" s="4"/>
    </row>
    <row r="25" ht="22.5" customHeight="1">
      <c r="A25" s="4"/>
      <c r="B25" s="31" t="s">
        <v>203</v>
      </c>
      <c r="C25" s="76">
        <v>1.0</v>
      </c>
      <c r="D25" s="34" t="s">
        <v>204</v>
      </c>
      <c r="E25" s="34" t="s">
        <v>205</v>
      </c>
      <c r="F25" s="34" t="s">
        <v>207</v>
      </c>
      <c r="G25" s="74"/>
      <c r="H25" s="74"/>
      <c r="I25" s="4"/>
      <c r="J25" s="4"/>
      <c r="K25" s="4"/>
      <c r="L25" s="4"/>
      <c r="M25" s="4"/>
      <c r="N25" s="4"/>
      <c r="O25" s="4"/>
      <c r="P25" s="4"/>
      <c r="Q25" s="4"/>
      <c r="R25" s="4"/>
      <c r="S25" s="4"/>
      <c r="T25" s="4"/>
      <c r="U25" s="4"/>
      <c r="V25" s="4"/>
      <c r="W25" s="4"/>
      <c r="X25" s="4"/>
      <c r="Y25" s="4"/>
      <c r="Z25" s="4"/>
      <c r="AA25" s="4"/>
      <c r="AB25" s="4"/>
      <c r="AC25" s="4"/>
      <c r="AD25" s="4"/>
      <c r="AE25" s="4"/>
    </row>
    <row r="26">
      <c r="A26" s="4"/>
      <c r="B26" s="74"/>
      <c r="C26" s="74"/>
      <c r="D26" s="74"/>
      <c r="E26" s="74"/>
      <c r="F26" s="74"/>
      <c r="G26" s="74"/>
      <c r="H26" s="74"/>
      <c r="I26" s="4"/>
      <c r="J26" s="4"/>
      <c r="K26" s="4"/>
      <c r="L26" s="4"/>
      <c r="M26" s="4"/>
      <c r="N26" s="4"/>
      <c r="O26" s="4"/>
      <c r="P26" s="4"/>
      <c r="Q26" s="4"/>
      <c r="R26" s="4"/>
      <c r="S26" s="4"/>
      <c r="T26" s="4"/>
      <c r="U26" s="4"/>
      <c r="V26" s="4"/>
      <c r="W26" s="4"/>
      <c r="X26" s="4"/>
      <c r="Y26" s="4"/>
      <c r="Z26" s="4"/>
      <c r="AA26" s="4"/>
      <c r="AB26" s="4"/>
      <c r="AC26" s="4"/>
      <c r="AD26" s="4"/>
      <c r="AE26" s="4"/>
    </row>
    <row r="27">
      <c r="A27" s="4"/>
      <c r="B27" s="74"/>
      <c r="C27" s="74"/>
      <c r="D27" s="74"/>
      <c r="E27" s="74"/>
      <c r="F27" s="74"/>
      <c r="G27" s="74"/>
      <c r="H27" s="74"/>
      <c r="I27" s="4"/>
      <c r="J27" s="4"/>
      <c r="K27" s="4"/>
      <c r="L27" s="4"/>
      <c r="M27" s="4"/>
      <c r="N27" s="4"/>
      <c r="O27" s="4"/>
      <c r="P27" s="4"/>
      <c r="Q27" s="4"/>
      <c r="R27" s="4"/>
      <c r="S27" s="4"/>
      <c r="T27" s="4"/>
      <c r="U27" s="4"/>
      <c r="V27" s="4"/>
      <c r="W27" s="4"/>
      <c r="X27" s="4"/>
      <c r="Y27" s="4"/>
      <c r="Z27" s="4"/>
      <c r="AA27" s="4"/>
      <c r="AB27" s="4"/>
      <c r="AC27" s="4"/>
      <c r="AD27" s="4"/>
      <c r="AE27" s="4"/>
    </row>
    <row r="28">
      <c r="A28" s="4"/>
      <c r="B28" s="74"/>
      <c r="C28" s="75" t="s">
        <v>209</v>
      </c>
      <c r="E28" s="74"/>
      <c r="F28" s="74"/>
      <c r="G28" s="74"/>
      <c r="H28" s="74"/>
      <c r="I28" s="4"/>
      <c r="J28" s="4"/>
      <c r="K28" s="4"/>
      <c r="L28" s="4"/>
      <c r="M28" s="4"/>
      <c r="N28" s="4"/>
      <c r="O28" s="4"/>
      <c r="P28" s="4"/>
      <c r="Q28" s="4"/>
      <c r="R28" s="4"/>
      <c r="S28" s="4"/>
      <c r="T28" s="4"/>
      <c r="U28" s="4"/>
      <c r="V28" s="4"/>
      <c r="W28" s="4"/>
      <c r="X28" s="4"/>
      <c r="Y28" s="4"/>
      <c r="Z28" s="4"/>
      <c r="AA28" s="4"/>
      <c r="AB28" s="4"/>
      <c r="AC28" s="4"/>
      <c r="AD28" s="4"/>
      <c r="AE28" s="4"/>
    </row>
    <row r="29" ht="22.5" customHeight="1">
      <c r="A29" s="4"/>
      <c r="B29" s="43" t="s">
        <v>210</v>
      </c>
      <c r="C29" s="43" t="s">
        <v>211</v>
      </c>
      <c r="D29" s="43" t="s">
        <v>212</v>
      </c>
      <c r="E29" s="43" t="s">
        <v>213</v>
      </c>
      <c r="F29" s="43" t="s">
        <v>214</v>
      </c>
      <c r="G29" s="43" t="s">
        <v>215</v>
      </c>
      <c r="H29" s="43" t="s">
        <v>216</v>
      </c>
      <c r="I29" s="4"/>
      <c r="J29" s="4"/>
      <c r="K29" s="4"/>
      <c r="L29" s="4"/>
      <c r="M29" s="4"/>
      <c r="N29" s="4"/>
      <c r="O29" s="4"/>
      <c r="P29" s="4"/>
      <c r="Q29" s="4"/>
      <c r="R29" s="4"/>
      <c r="S29" s="4"/>
      <c r="T29" s="4"/>
      <c r="U29" s="4"/>
      <c r="V29" s="4"/>
      <c r="W29" s="4"/>
      <c r="X29" s="4"/>
      <c r="Y29" s="4"/>
      <c r="Z29" s="4"/>
      <c r="AA29" s="4"/>
      <c r="AB29" s="4"/>
      <c r="AC29" s="4"/>
      <c r="AD29" s="4"/>
      <c r="AE29" s="4"/>
    </row>
    <row r="30" ht="22.5" customHeight="1">
      <c r="A30" s="4"/>
      <c r="B30" s="31" t="s">
        <v>217</v>
      </c>
      <c r="C30" s="31" t="s">
        <v>218</v>
      </c>
      <c r="D30" s="34" t="s">
        <v>219</v>
      </c>
      <c r="E30" s="34" t="s">
        <v>220</v>
      </c>
      <c r="F30" s="31" t="s">
        <v>221</v>
      </c>
      <c r="G30" s="34" t="s">
        <v>222</v>
      </c>
      <c r="H30" s="34" t="s">
        <v>223</v>
      </c>
      <c r="I30" s="4"/>
      <c r="J30" s="4"/>
      <c r="K30" s="4"/>
      <c r="L30" s="4"/>
      <c r="M30" s="4"/>
      <c r="N30" s="4"/>
      <c r="O30" s="4"/>
      <c r="P30" s="4"/>
      <c r="Q30" s="4"/>
      <c r="R30" s="4"/>
      <c r="S30" s="4"/>
      <c r="T30" s="4"/>
      <c r="U30" s="4"/>
      <c r="V30" s="4"/>
      <c r="W30" s="4"/>
      <c r="X30" s="4"/>
      <c r="Y30" s="4"/>
      <c r="Z30" s="4"/>
      <c r="AA30" s="4"/>
      <c r="AB30" s="4"/>
      <c r="AC30" s="4"/>
      <c r="AD30" s="4"/>
      <c r="AE30" s="4"/>
    </row>
    <row r="31" ht="22.5" customHeight="1">
      <c r="A31" s="4"/>
      <c r="B31" s="31" t="s">
        <v>224</v>
      </c>
      <c r="C31" s="31" t="s">
        <v>225</v>
      </c>
      <c r="D31" s="34" t="s">
        <v>226</v>
      </c>
      <c r="E31" s="34" t="s">
        <v>227</v>
      </c>
      <c r="F31" s="31" t="s">
        <v>228</v>
      </c>
      <c r="G31" s="34" t="s">
        <v>229</v>
      </c>
      <c r="H31" s="34" t="s">
        <v>230</v>
      </c>
      <c r="I31" s="4"/>
      <c r="J31" s="4"/>
      <c r="K31" s="4"/>
      <c r="L31" s="4"/>
      <c r="M31" s="4"/>
      <c r="N31" s="4"/>
      <c r="O31" s="4"/>
      <c r="P31" s="4"/>
      <c r="Q31" s="4"/>
      <c r="R31" s="4"/>
      <c r="S31" s="4"/>
      <c r="T31" s="4"/>
      <c r="U31" s="4"/>
      <c r="V31" s="4"/>
      <c r="W31" s="4"/>
      <c r="X31" s="4"/>
      <c r="Y31" s="4"/>
      <c r="Z31" s="4"/>
      <c r="AA31" s="4"/>
      <c r="AB31" s="4"/>
      <c r="AC31" s="4"/>
      <c r="AD31" s="4"/>
      <c r="AE31" s="4"/>
    </row>
    <row r="32" ht="22.5" customHeight="1">
      <c r="A32" s="4"/>
      <c r="B32" s="31" t="s">
        <v>231</v>
      </c>
      <c r="C32" s="31" t="s">
        <v>232</v>
      </c>
      <c r="D32" s="34" t="s">
        <v>233</v>
      </c>
      <c r="E32" s="34" t="s">
        <v>234</v>
      </c>
      <c r="F32" s="31" t="s">
        <v>235</v>
      </c>
      <c r="G32" s="34" t="s">
        <v>229</v>
      </c>
      <c r="H32" s="34" t="s">
        <v>236</v>
      </c>
      <c r="I32" s="4"/>
      <c r="J32" s="4"/>
      <c r="K32" s="4"/>
      <c r="L32" s="4"/>
      <c r="M32" s="4"/>
      <c r="N32" s="4"/>
      <c r="O32" s="4"/>
      <c r="P32" s="4"/>
      <c r="Q32" s="4"/>
      <c r="R32" s="4"/>
      <c r="S32" s="4"/>
      <c r="T32" s="4"/>
      <c r="U32" s="4"/>
      <c r="V32" s="4"/>
      <c r="W32" s="4"/>
      <c r="X32" s="4"/>
      <c r="Y32" s="4"/>
      <c r="Z32" s="4"/>
      <c r="AA32" s="4"/>
      <c r="AB32" s="4"/>
      <c r="AC32" s="4"/>
      <c r="AD32" s="4"/>
      <c r="AE32" s="4"/>
    </row>
    <row r="33" ht="22.5" customHeight="1">
      <c r="A33" s="4"/>
      <c r="B33" s="31" t="s">
        <v>237</v>
      </c>
      <c r="C33" s="31" t="s">
        <v>238</v>
      </c>
      <c r="D33" s="34" t="s">
        <v>239</v>
      </c>
      <c r="E33" s="34" t="s">
        <v>240</v>
      </c>
      <c r="F33" s="31" t="s">
        <v>235</v>
      </c>
      <c r="G33" s="34" t="s">
        <v>222</v>
      </c>
      <c r="H33" s="34" t="s">
        <v>241</v>
      </c>
      <c r="I33" s="4"/>
      <c r="J33" s="4"/>
      <c r="K33" s="4"/>
      <c r="L33" s="4"/>
      <c r="M33" s="4"/>
      <c r="N33" s="4"/>
      <c r="O33" s="4"/>
      <c r="P33" s="4"/>
      <c r="Q33" s="4"/>
      <c r="R33" s="4"/>
      <c r="S33" s="4"/>
      <c r="T33" s="4"/>
      <c r="U33" s="4"/>
      <c r="V33" s="4"/>
      <c r="W33" s="4"/>
      <c r="X33" s="4"/>
      <c r="Y33" s="4"/>
      <c r="Z33" s="4"/>
      <c r="AA33" s="4"/>
      <c r="AB33" s="4"/>
      <c r="AC33" s="4"/>
      <c r="AD33" s="4"/>
      <c r="AE33" s="4"/>
    </row>
    <row r="34" ht="22.5" customHeight="1">
      <c r="A34" s="4"/>
      <c r="B34" s="31" t="s">
        <v>243</v>
      </c>
      <c r="C34" s="31" t="s">
        <v>244</v>
      </c>
      <c r="D34" s="34" t="s">
        <v>246</v>
      </c>
      <c r="E34" s="34" t="s">
        <v>247</v>
      </c>
      <c r="F34" s="31" t="s">
        <v>221</v>
      </c>
      <c r="G34" s="34" t="s">
        <v>249</v>
      </c>
      <c r="H34" s="34" t="s">
        <v>250</v>
      </c>
      <c r="I34" s="4"/>
      <c r="J34" s="4"/>
      <c r="K34" s="4"/>
      <c r="L34" s="4"/>
      <c r="M34" s="4"/>
      <c r="N34" s="4"/>
      <c r="O34" s="4"/>
      <c r="P34" s="4"/>
      <c r="Q34" s="4"/>
      <c r="R34" s="4"/>
      <c r="S34" s="4"/>
      <c r="T34" s="4"/>
      <c r="U34" s="4"/>
      <c r="V34" s="4"/>
      <c r="W34" s="4"/>
      <c r="X34" s="4"/>
      <c r="Y34" s="4"/>
      <c r="Z34" s="4"/>
      <c r="AA34" s="4"/>
      <c r="AB34" s="4"/>
      <c r="AC34" s="4"/>
      <c r="AD34" s="4"/>
      <c r="AE34" s="4"/>
    </row>
    <row r="35" ht="22.5" customHeight="1">
      <c r="A35" s="4"/>
      <c r="B35" s="31" t="s">
        <v>251</v>
      </c>
      <c r="C35" s="31" t="s">
        <v>252</v>
      </c>
      <c r="D35" s="34" t="s">
        <v>253</v>
      </c>
      <c r="E35" s="34" t="s">
        <v>255</v>
      </c>
      <c r="F35" s="31" t="s">
        <v>258</v>
      </c>
      <c r="G35" s="34" t="s">
        <v>259</v>
      </c>
      <c r="H35" s="34" t="s">
        <v>46</v>
      </c>
      <c r="I35" s="4"/>
      <c r="J35" s="4"/>
      <c r="K35" s="4"/>
      <c r="L35" s="4"/>
      <c r="M35" s="4"/>
      <c r="N35" s="4"/>
      <c r="O35" s="4"/>
      <c r="P35" s="4"/>
      <c r="Q35" s="4"/>
      <c r="R35" s="4"/>
      <c r="S35" s="4"/>
      <c r="T35" s="4"/>
      <c r="U35" s="4"/>
      <c r="V35" s="4"/>
      <c r="W35" s="4"/>
      <c r="X35" s="4"/>
      <c r="Y35" s="4"/>
      <c r="Z35" s="4"/>
      <c r="AA35" s="4"/>
      <c r="AB35" s="4"/>
      <c r="AC35" s="4"/>
      <c r="AD35" s="4"/>
      <c r="AE35" s="4"/>
    </row>
    <row r="36" ht="22.5" customHeight="1">
      <c r="A36" s="4"/>
      <c r="B36" s="96" t="s">
        <v>263</v>
      </c>
      <c r="C36" s="96" t="s">
        <v>267</v>
      </c>
      <c r="D36" s="96" t="s">
        <v>271</v>
      </c>
      <c r="E36" s="96" t="s">
        <v>272</v>
      </c>
      <c r="F36" s="96" t="s">
        <v>273</v>
      </c>
      <c r="G36" s="96" t="s">
        <v>275</v>
      </c>
      <c r="H36" s="96" t="s">
        <v>276</v>
      </c>
      <c r="I36" s="4"/>
      <c r="J36" s="4"/>
      <c r="K36" s="4"/>
      <c r="L36" s="4"/>
      <c r="M36" s="4"/>
      <c r="N36" s="4"/>
      <c r="O36" s="4"/>
      <c r="P36" s="4"/>
      <c r="Q36" s="4"/>
      <c r="R36" s="4"/>
      <c r="S36" s="4"/>
      <c r="T36" s="4"/>
      <c r="U36" s="4"/>
      <c r="V36" s="4"/>
      <c r="W36" s="4"/>
      <c r="X36" s="4"/>
      <c r="Y36" s="4"/>
      <c r="Z36" s="4"/>
      <c r="AA36" s="4"/>
      <c r="AB36" s="4"/>
      <c r="AC36" s="4"/>
      <c r="AD36" s="4"/>
      <c r="AE36" s="4"/>
    </row>
    <row r="37">
      <c r="A37" s="4"/>
      <c r="B37" s="40"/>
      <c r="C37" s="40"/>
      <c r="D37" s="40"/>
      <c r="E37" s="40"/>
      <c r="F37" s="40"/>
      <c r="G37" s="40"/>
      <c r="H37" s="40"/>
      <c r="I37" s="4"/>
      <c r="J37" s="4"/>
      <c r="K37" s="4"/>
      <c r="L37" s="4"/>
      <c r="M37" s="4"/>
      <c r="N37" s="4"/>
      <c r="O37" s="4"/>
      <c r="P37" s="4"/>
      <c r="Q37" s="4"/>
      <c r="R37" s="4"/>
      <c r="S37" s="4"/>
      <c r="T37" s="4"/>
      <c r="U37" s="4"/>
      <c r="V37" s="4"/>
      <c r="W37" s="4"/>
      <c r="X37" s="4"/>
      <c r="Y37" s="4"/>
      <c r="Z37" s="4"/>
      <c r="AA37" s="4"/>
      <c r="AB37" s="4"/>
      <c r="AC37" s="4"/>
      <c r="AD37" s="4"/>
      <c r="AE37" s="4"/>
    </row>
    <row r="38">
      <c r="A38" s="4"/>
      <c r="B38" s="40"/>
      <c r="C38" s="40"/>
      <c r="D38" s="40"/>
      <c r="E38" s="40"/>
      <c r="F38" s="40"/>
      <c r="G38" s="40"/>
      <c r="H38" s="40"/>
      <c r="I38" s="4"/>
      <c r="J38" s="4"/>
      <c r="K38" s="4"/>
      <c r="L38" s="4"/>
      <c r="M38" s="4"/>
      <c r="N38" s="4"/>
      <c r="O38" s="4"/>
      <c r="P38" s="4"/>
      <c r="Q38" s="4"/>
      <c r="R38" s="4"/>
      <c r="S38" s="4"/>
      <c r="T38" s="4"/>
      <c r="U38" s="4"/>
      <c r="V38" s="4"/>
      <c r="W38" s="4"/>
      <c r="X38" s="4"/>
      <c r="Y38" s="4"/>
      <c r="Z38" s="4"/>
      <c r="AA38" s="4"/>
      <c r="AB38" s="4"/>
      <c r="AC38" s="4"/>
      <c r="AD38" s="4"/>
      <c r="AE38" s="4"/>
    </row>
    <row r="39">
      <c r="A39" s="4"/>
      <c r="C39" s="40"/>
      <c r="D39" s="40"/>
      <c r="E39" s="40"/>
      <c r="F39" s="40"/>
      <c r="G39" s="40"/>
      <c r="H39" s="40"/>
      <c r="I39" s="4"/>
      <c r="J39" s="4"/>
      <c r="K39" s="4"/>
      <c r="L39" s="4"/>
      <c r="M39" s="4"/>
      <c r="N39" s="4"/>
      <c r="O39" s="4"/>
      <c r="P39" s="4"/>
      <c r="Q39" s="4"/>
      <c r="R39" s="4"/>
      <c r="S39" s="4"/>
      <c r="T39" s="4"/>
      <c r="U39" s="4"/>
      <c r="V39" s="4"/>
      <c r="W39" s="4"/>
      <c r="X39" s="4"/>
      <c r="Y39" s="4"/>
      <c r="Z39" s="4"/>
      <c r="AA39" s="4"/>
      <c r="AB39" s="4"/>
      <c r="AC39" s="4"/>
      <c r="AD39" s="4"/>
      <c r="AE39" s="4"/>
    </row>
    <row r="40">
      <c r="A40" s="4"/>
      <c r="B40" s="40"/>
      <c r="C40" s="40"/>
      <c r="D40" s="40"/>
      <c r="E40" s="40"/>
      <c r="F40" s="40"/>
      <c r="G40" s="40"/>
      <c r="H40" s="40"/>
      <c r="I40" s="4"/>
      <c r="J40" s="4"/>
      <c r="K40" s="4"/>
      <c r="L40" s="4"/>
      <c r="M40" s="4"/>
      <c r="N40" s="4"/>
      <c r="O40" s="4"/>
      <c r="P40" s="4"/>
      <c r="Q40" s="4"/>
      <c r="R40" s="4"/>
      <c r="S40" s="4"/>
      <c r="T40" s="4"/>
      <c r="U40" s="4"/>
      <c r="V40" s="4"/>
      <c r="W40" s="4"/>
      <c r="X40" s="4"/>
      <c r="Y40" s="4"/>
      <c r="Z40" s="4"/>
      <c r="AA40" s="4"/>
      <c r="AB40" s="4"/>
      <c r="AC40" s="4"/>
      <c r="AD40" s="4"/>
      <c r="AE40" s="4"/>
    </row>
    <row r="41">
      <c r="A41" s="4"/>
      <c r="B41" s="40"/>
      <c r="C41" s="40"/>
      <c r="D41" s="40"/>
      <c r="E41" s="40"/>
      <c r="F41" s="40"/>
      <c r="G41" s="40"/>
      <c r="H41" s="40"/>
      <c r="I41" s="4"/>
      <c r="J41" s="4"/>
      <c r="K41" s="4"/>
      <c r="L41" s="4"/>
      <c r="M41" s="4"/>
      <c r="N41" s="4"/>
      <c r="O41" s="4"/>
      <c r="P41" s="4"/>
      <c r="Q41" s="4"/>
      <c r="R41" s="4"/>
      <c r="S41" s="4"/>
      <c r="T41" s="4"/>
      <c r="U41" s="4"/>
      <c r="V41" s="4"/>
      <c r="W41" s="4"/>
      <c r="X41" s="4"/>
      <c r="Y41" s="4"/>
      <c r="Z41" s="4"/>
      <c r="AA41" s="4"/>
      <c r="AB41" s="4"/>
      <c r="AC41" s="4"/>
      <c r="AD41" s="4"/>
      <c r="AE41" s="4"/>
    </row>
    <row r="42">
      <c r="A42" s="4"/>
      <c r="B42" s="40"/>
      <c r="C42" s="40"/>
      <c r="D42" s="40"/>
      <c r="E42" s="40"/>
      <c r="F42" s="40"/>
      <c r="G42" s="40"/>
      <c r="H42" s="40"/>
      <c r="I42" s="4"/>
      <c r="J42" s="4"/>
      <c r="K42" s="4"/>
      <c r="L42" s="4"/>
      <c r="M42" s="4"/>
      <c r="N42" s="4"/>
      <c r="O42" s="4"/>
      <c r="P42" s="4"/>
      <c r="Q42" s="4"/>
      <c r="R42" s="4"/>
      <c r="S42" s="4"/>
      <c r="T42" s="4"/>
      <c r="U42" s="4"/>
      <c r="V42" s="4"/>
      <c r="W42" s="4"/>
      <c r="X42" s="4"/>
      <c r="Y42" s="4"/>
      <c r="Z42" s="4"/>
      <c r="AA42" s="4"/>
      <c r="AB42" s="4"/>
      <c r="AC42" s="4"/>
      <c r="AD42" s="4"/>
      <c r="AE42" s="4"/>
    </row>
    <row r="43">
      <c r="A43" s="4"/>
      <c r="B43" s="40"/>
      <c r="C43" s="40"/>
      <c r="D43" s="40"/>
      <c r="E43" s="40"/>
      <c r="F43" s="40"/>
      <c r="G43" s="40"/>
      <c r="H43" s="40"/>
      <c r="I43" s="4"/>
      <c r="J43" s="4"/>
      <c r="K43" s="4"/>
      <c r="L43" s="4"/>
      <c r="M43" s="4"/>
      <c r="N43" s="4"/>
      <c r="O43" s="4"/>
      <c r="P43" s="4"/>
      <c r="Q43" s="4"/>
      <c r="R43" s="4"/>
      <c r="S43" s="4"/>
      <c r="T43" s="4"/>
      <c r="U43" s="4"/>
      <c r="V43" s="4"/>
      <c r="W43" s="4"/>
      <c r="X43" s="4"/>
      <c r="Y43" s="4"/>
      <c r="Z43" s="4"/>
      <c r="AA43" s="4"/>
      <c r="AB43" s="4"/>
      <c r="AC43" s="4"/>
      <c r="AD43" s="4"/>
      <c r="AE43" s="4"/>
    </row>
    <row r="44">
      <c r="A44" s="4"/>
      <c r="B44" s="40"/>
      <c r="C44" s="40"/>
      <c r="D44" s="40"/>
      <c r="E44" s="40"/>
      <c r="F44" s="40"/>
      <c r="G44" s="40"/>
      <c r="H44" s="40"/>
      <c r="I44" s="4"/>
      <c r="J44" s="4"/>
      <c r="K44" s="4"/>
      <c r="L44" s="4"/>
      <c r="M44" s="4"/>
      <c r="N44" s="4"/>
      <c r="O44" s="4"/>
      <c r="P44" s="4"/>
      <c r="Q44" s="4"/>
      <c r="R44" s="4"/>
      <c r="S44" s="4"/>
      <c r="T44" s="4"/>
      <c r="U44" s="4"/>
      <c r="V44" s="4"/>
      <c r="W44" s="4"/>
      <c r="X44" s="4"/>
      <c r="Y44" s="4"/>
      <c r="Z44" s="4"/>
      <c r="AA44" s="4"/>
      <c r="AB44" s="4"/>
      <c r="AC44" s="4"/>
      <c r="AD44" s="4"/>
      <c r="AE44" s="4"/>
    </row>
    <row r="45">
      <c r="A45" s="4"/>
      <c r="B45" s="40"/>
      <c r="C45" s="40"/>
      <c r="D45" s="40"/>
      <c r="E45" s="40"/>
      <c r="F45" s="40"/>
      <c r="G45" s="40"/>
      <c r="H45" s="40"/>
      <c r="I45" s="4"/>
      <c r="J45" s="4"/>
      <c r="K45" s="4"/>
      <c r="L45" s="4"/>
      <c r="M45" s="4"/>
      <c r="N45" s="4"/>
      <c r="O45" s="4"/>
      <c r="P45" s="4"/>
      <c r="Q45" s="4"/>
      <c r="R45" s="4"/>
      <c r="S45" s="4"/>
      <c r="T45" s="4"/>
      <c r="U45" s="4"/>
      <c r="V45" s="4"/>
      <c r="W45" s="4"/>
      <c r="X45" s="4"/>
      <c r="Y45" s="4"/>
      <c r="Z45" s="4"/>
      <c r="AA45" s="4"/>
      <c r="AB45" s="4"/>
      <c r="AC45" s="4"/>
      <c r="AD45" s="4"/>
      <c r="AE45" s="4"/>
    </row>
    <row r="46">
      <c r="A46" s="4"/>
      <c r="B46" s="40"/>
      <c r="C46" s="40"/>
      <c r="D46" s="40"/>
      <c r="E46" s="40"/>
      <c r="F46" s="40"/>
      <c r="G46" s="40"/>
      <c r="H46" s="40"/>
      <c r="I46" s="4"/>
      <c r="J46" s="4"/>
      <c r="K46" s="4"/>
      <c r="L46" s="4"/>
      <c r="M46" s="4"/>
      <c r="N46" s="4"/>
      <c r="O46" s="4"/>
      <c r="P46" s="4"/>
      <c r="Q46" s="4"/>
      <c r="R46" s="4"/>
      <c r="S46" s="4"/>
      <c r="T46" s="4"/>
      <c r="U46" s="4"/>
      <c r="V46" s="4"/>
      <c r="W46" s="4"/>
      <c r="X46" s="4"/>
      <c r="Y46" s="4"/>
      <c r="Z46" s="4"/>
      <c r="AA46" s="4"/>
      <c r="AB46" s="4"/>
      <c r="AC46" s="4"/>
      <c r="AD46" s="4"/>
      <c r="AE46" s="4"/>
    </row>
  </sheetData>
  <mergeCells count="13">
    <mergeCell ref="D12:E12"/>
    <mergeCell ref="D13:E13"/>
    <mergeCell ref="D14:E14"/>
    <mergeCell ref="D15:E15"/>
    <mergeCell ref="C19:D19"/>
    <mergeCell ref="C28:D28"/>
    <mergeCell ref="C1:D2"/>
    <mergeCell ref="C3:E3"/>
    <mergeCell ref="J3:L3"/>
    <mergeCell ref="F4:F7"/>
    <mergeCell ref="D7:E7"/>
    <mergeCell ref="D8:E8"/>
    <mergeCell ref="D9:E9"/>
  </mergeCells>
  <drawing r:id="rId1"/>
  <tableParts count="3">
    <tablePart r:id="rId5"/>
    <tablePart r:id="rId6"/>
    <tablePart r:id="rId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20.0"/>
    <col customWidth="1" min="3" max="3" width="15.75"/>
    <col customWidth="1" min="4" max="4" width="19.0"/>
    <col customWidth="1" min="5" max="5" width="34.63"/>
    <col customWidth="1" min="6" max="6" width="18.25"/>
    <col customWidth="1" min="7" max="7" width="21.88"/>
    <col customWidth="1" min="8" max="8" width="19.88"/>
  </cols>
  <sheetData>
    <row r="1">
      <c r="A1" s="1"/>
      <c r="B1" s="1"/>
      <c r="C1" s="3" t="s">
        <v>242</v>
      </c>
      <c r="E1" s="4"/>
      <c r="F1" s="88"/>
      <c r="G1" s="5"/>
      <c r="H1" s="5"/>
      <c r="I1" s="4"/>
    </row>
    <row r="2">
      <c r="A2" s="4"/>
      <c r="B2" s="5"/>
      <c r="E2" s="6" t="s">
        <v>248</v>
      </c>
      <c r="F2" s="88"/>
      <c r="G2" s="90"/>
      <c r="H2" s="91"/>
      <c r="I2" s="4"/>
    </row>
    <row r="3">
      <c r="A3" s="4"/>
      <c r="B3" s="5"/>
      <c r="C3" s="8" t="s">
        <v>5</v>
      </c>
      <c r="D3" s="10"/>
      <c r="E3" s="11"/>
      <c r="F3" s="88"/>
      <c r="G3" s="92"/>
      <c r="H3" s="93"/>
      <c r="I3" s="4"/>
    </row>
    <row r="4">
      <c r="A4" s="4"/>
      <c r="B4" s="5"/>
      <c r="C4" s="12"/>
      <c r="D4" s="13"/>
      <c r="E4" s="14"/>
      <c r="F4" s="88"/>
      <c r="G4" s="92"/>
      <c r="H4" s="91"/>
      <c r="I4" s="4"/>
    </row>
    <row r="5">
      <c r="A5" s="4"/>
      <c r="B5" s="5"/>
      <c r="C5" s="15" t="s">
        <v>256</v>
      </c>
      <c r="D5" s="17">
        <v>600000.0</v>
      </c>
      <c r="E5" s="14"/>
      <c r="F5" s="88"/>
      <c r="G5" s="92"/>
      <c r="H5" s="94"/>
      <c r="I5" s="4"/>
    </row>
    <row r="6">
      <c r="A6" s="4"/>
      <c r="B6" s="5"/>
      <c r="C6" s="12"/>
      <c r="D6" s="13"/>
      <c r="E6" s="14"/>
      <c r="F6" s="88"/>
      <c r="G6" s="92"/>
      <c r="H6" s="95"/>
      <c r="I6" s="4"/>
    </row>
    <row r="7">
      <c r="A7" s="4"/>
      <c r="B7" s="5"/>
      <c r="C7" s="22" t="s">
        <v>262</v>
      </c>
      <c r="D7" s="24" t="s">
        <v>264</v>
      </c>
      <c r="E7" s="11"/>
      <c r="F7" s="88"/>
      <c r="G7" s="92"/>
      <c r="H7" s="91"/>
      <c r="I7" s="4"/>
    </row>
    <row r="8">
      <c r="A8" s="4"/>
      <c r="B8" s="5"/>
      <c r="C8" s="12"/>
      <c r="D8" s="13"/>
      <c r="E8" s="14"/>
      <c r="F8" s="88"/>
      <c r="G8" s="5"/>
      <c r="H8" s="5"/>
      <c r="I8" s="4"/>
    </row>
    <row r="9">
      <c r="A9" s="4"/>
      <c r="B9" s="5"/>
      <c r="C9" s="27" t="s">
        <v>270</v>
      </c>
      <c r="D9" s="13"/>
      <c r="E9" s="14"/>
      <c r="F9" s="88"/>
      <c r="G9" s="5"/>
      <c r="H9" s="5"/>
      <c r="I9" s="4"/>
    </row>
    <row r="10">
      <c r="A10" s="4"/>
      <c r="B10" s="5"/>
      <c r="C10" s="30"/>
      <c r="D10" s="33" t="s">
        <v>274</v>
      </c>
      <c r="E10" s="35"/>
      <c r="F10" s="88"/>
      <c r="G10" s="5"/>
      <c r="H10" s="5"/>
      <c r="I10" s="4"/>
    </row>
    <row r="11">
      <c r="A11" s="4"/>
      <c r="B11" s="5"/>
      <c r="C11" s="30"/>
      <c r="D11" s="33" t="s">
        <v>277</v>
      </c>
      <c r="E11" s="35"/>
      <c r="F11" s="88"/>
      <c r="G11" s="5"/>
      <c r="H11" s="5"/>
      <c r="I11" s="4"/>
    </row>
    <row r="12">
      <c r="A12" s="4"/>
      <c r="B12" s="5"/>
      <c r="C12" s="30"/>
      <c r="D12" s="33" t="s">
        <v>35</v>
      </c>
      <c r="E12" s="35"/>
      <c r="F12" s="88"/>
      <c r="G12" s="5"/>
      <c r="H12" s="5"/>
      <c r="I12" s="4"/>
    </row>
    <row r="13">
      <c r="A13" s="4"/>
      <c r="B13" s="5"/>
      <c r="C13" s="30"/>
      <c r="D13" s="33" t="s">
        <v>41</v>
      </c>
      <c r="E13" s="35"/>
      <c r="F13" s="88"/>
      <c r="G13" s="5"/>
      <c r="H13" s="5"/>
      <c r="I13" s="4"/>
    </row>
    <row r="14">
      <c r="A14" s="4"/>
      <c r="B14" s="5"/>
      <c r="C14" s="37"/>
      <c r="D14" s="38"/>
      <c r="E14" s="39"/>
      <c r="F14" s="88"/>
      <c r="G14" s="5"/>
      <c r="H14" s="5"/>
      <c r="I14" s="4"/>
    </row>
    <row r="15">
      <c r="A15" s="4"/>
      <c r="B15" s="5"/>
      <c r="C15" s="4"/>
      <c r="D15" s="4"/>
      <c r="E15" s="4"/>
      <c r="F15" s="88"/>
      <c r="G15" s="5"/>
      <c r="H15" s="5"/>
      <c r="I15" s="4"/>
    </row>
    <row r="16">
      <c r="A16" s="4"/>
      <c r="B16" s="5"/>
      <c r="C16" s="25"/>
      <c r="E16" s="4"/>
      <c r="F16" s="88"/>
      <c r="G16" s="5"/>
      <c r="H16" s="5"/>
      <c r="I16" s="4"/>
    </row>
    <row r="17">
      <c r="A17" s="4"/>
      <c r="B17" s="99"/>
      <c r="C17" s="25" t="s">
        <v>286</v>
      </c>
      <c r="E17" s="99"/>
      <c r="F17" s="101"/>
      <c r="G17" s="103"/>
      <c r="H17" s="99"/>
      <c r="I17" s="4"/>
    </row>
    <row r="18" ht="22.5" customHeight="1">
      <c r="A18" s="4"/>
      <c r="B18" s="105" t="s">
        <v>173</v>
      </c>
      <c r="C18" s="105" t="s">
        <v>290</v>
      </c>
      <c r="D18" s="105" t="s">
        <v>291</v>
      </c>
      <c r="E18" s="105" t="s">
        <v>292</v>
      </c>
      <c r="F18" s="106" t="s">
        <v>293</v>
      </c>
      <c r="G18" s="106" t="s">
        <v>295</v>
      </c>
      <c r="H18" s="105" t="s">
        <v>296</v>
      </c>
      <c r="I18" s="4"/>
    </row>
    <row r="19" ht="22.5" customHeight="1">
      <c r="A19" s="4"/>
      <c r="B19" s="107" t="s">
        <v>181</v>
      </c>
      <c r="C19" s="108">
        <v>60000.0</v>
      </c>
      <c r="D19" s="109" t="s">
        <v>276</v>
      </c>
      <c r="E19" s="110">
        <v>1.0</v>
      </c>
      <c r="F19" s="111">
        <v>2.0</v>
      </c>
      <c r="G19" s="111">
        <f t="shared" ref="G19:G23" si="1">C19*F19</f>
        <v>120000</v>
      </c>
      <c r="H19" s="112">
        <f t="shared" ref="H19:H23" si="2">G19</f>
        <v>120000</v>
      </c>
      <c r="I19" s="4"/>
    </row>
    <row r="20" ht="22.5" customHeight="1">
      <c r="A20" s="4"/>
      <c r="B20" s="107" t="s">
        <v>188</v>
      </c>
      <c r="C20" s="108">
        <v>50000.0</v>
      </c>
      <c r="D20" s="109" t="s">
        <v>276</v>
      </c>
      <c r="E20" s="110">
        <v>0.5</v>
      </c>
      <c r="F20" s="111">
        <v>1.0</v>
      </c>
      <c r="G20" s="111">
        <f t="shared" si="1"/>
        <v>50000</v>
      </c>
      <c r="H20" s="112">
        <f t="shared" si="2"/>
        <v>50000</v>
      </c>
      <c r="I20" s="4"/>
    </row>
    <row r="21" ht="22.5" customHeight="1">
      <c r="A21" s="4"/>
      <c r="B21" s="107" t="s">
        <v>192</v>
      </c>
      <c r="C21" s="108">
        <v>100000.0</v>
      </c>
      <c r="D21" s="109" t="s">
        <v>276</v>
      </c>
      <c r="E21" s="110">
        <v>1.0</v>
      </c>
      <c r="F21" s="111">
        <v>2.0</v>
      </c>
      <c r="G21" s="111">
        <f t="shared" si="1"/>
        <v>200000</v>
      </c>
      <c r="H21" s="112">
        <f t="shared" si="2"/>
        <v>200000</v>
      </c>
      <c r="I21" s="4"/>
    </row>
    <row r="22" ht="22.5" customHeight="1">
      <c r="A22" s="4"/>
      <c r="B22" s="107" t="s">
        <v>199</v>
      </c>
      <c r="C22" s="108">
        <v>70000.0</v>
      </c>
      <c r="D22" s="109" t="s">
        <v>276</v>
      </c>
      <c r="E22" s="110">
        <v>1.0</v>
      </c>
      <c r="F22" s="111">
        <v>2.0</v>
      </c>
      <c r="G22" s="111">
        <f t="shared" si="1"/>
        <v>140000</v>
      </c>
      <c r="H22" s="112">
        <f t="shared" si="2"/>
        <v>140000</v>
      </c>
      <c r="I22" s="4"/>
    </row>
    <row r="23" ht="22.5" customHeight="1">
      <c r="A23" s="4"/>
      <c r="B23" s="107" t="s">
        <v>203</v>
      </c>
      <c r="C23" s="108">
        <v>60000.0</v>
      </c>
      <c r="D23" s="109" t="s">
        <v>276</v>
      </c>
      <c r="E23" s="110">
        <v>0.75</v>
      </c>
      <c r="F23" s="111">
        <v>1.5</v>
      </c>
      <c r="G23" s="111">
        <f t="shared" si="1"/>
        <v>90000</v>
      </c>
      <c r="H23" s="112">
        <f t="shared" si="2"/>
        <v>90000</v>
      </c>
      <c r="I23" s="4"/>
    </row>
    <row r="24" ht="22.5" customHeight="1">
      <c r="A24" s="4"/>
      <c r="B24" s="114" t="s">
        <v>336</v>
      </c>
      <c r="C24" s="115"/>
      <c r="D24" s="115"/>
      <c r="E24" s="115"/>
      <c r="F24" s="116"/>
      <c r="G24" s="117" t="s">
        <v>337</v>
      </c>
      <c r="H24" s="118">
        <f>SUM(H19:H23)</f>
        <v>600000</v>
      </c>
      <c r="I24" s="4"/>
    </row>
    <row r="25">
      <c r="A25" s="4"/>
      <c r="B25" s="50"/>
      <c r="C25" s="50"/>
      <c r="D25" s="50"/>
      <c r="E25" s="50"/>
      <c r="F25" s="119"/>
      <c r="G25" s="120"/>
      <c r="H25" s="50"/>
      <c r="I25" s="4"/>
    </row>
    <row r="26">
      <c r="A26" s="4"/>
      <c r="B26" s="50"/>
      <c r="C26" s="50"/>
      <c r="D26" s="50"/>
      <c r="E26" s="50"/>
      <c r="F26" s="119"/>
      <c r="G26" s="120"/>
      <c r="H26" s="50"/>
      <c r="I26" s="4"/>
    </row>
    <row r="27">
      <c r="A27" s="4"/>
      <c r="B27" s="50"/>
      <c r="C27" s="50"/>
      <c r="D27" s="50"/>
      <c r="E27" s="50"/>
      <c r="F27" s="119"/>
      <c r="G27" s="120"/>
      <c r="H27" s="50"/>
      <c r="I27" s="4"/>
    </row>
    <row r="28">
      <c r="A28" s="4"/>
      <c r="B28" s="50"/>
      <c r="C28" s="50"/>
      <c r="D28" s="50"/>
      <c r="E28" s="50"/>
      <c r="F28" s="119"/>
      <c r="G28" s="120"/>
      <c r="H28" s="50"/>
      <c r="I28" s="4"/>
    </row>
    <row r="29">
      <c r="A29" s="4"/>
      <c r="B29" s="5"/>
      <c r="C29" s="4"/>
      <c r="D29" s="4"/>
      <c r="E29" s="4"/>
      <c r="F29" s="88"/>
      <c r="G29" s="5"/>
      <c r="H29" s="5"/>
      <c r="I29" s="4"/>
    </row>
    <row r="30">
      <c r="A30" s="4"/>
      <c r="B30" s="5"/>
      <c r="C30" s="121" t="s">
        <v>338</v>
      </c>
      <c r="F30" s="88"/>
      <c r="G30" s="5"/>
      <c r="H30" s="5"/>
      <c r="I30" s="4"/>
    </row>
    <row r="31">
      <c r="A31" s="4"/>
      <c r="B31" s="122" t="s">
        <v>339</v>
      </c>
      <c r="C31" s="10"/>
      <c r="D31" s="10"/>
      <c r="E31" s="11"/>
      <c r="F31" s="88"/>
      <c r="G31" s="5"/>
      <c r="H31" s="5"/>
      <c r="I31" s="4"/>
    </row>
    <row r="32">
      <c r="A32" s="4"/>
      <c r="B32" s="123" t="s">
        <v>340</v>
      </c>
      <c r="C32" s="124"/>
      <c r="D32" s="124"/>
      <c r="E32" s="125"/>
      <c r="F32" s="88"/>
      <c r="G32" s="5"/>
      <c r="H32" s="5"/>
      <c r="I32" s="4"/>
    </row>
    <row r="33">
      <c r="A33" s="4"/>
      <c r="B33" s="84"/>
      <c r="C33" s="85"/>
      <c r="D33" s="85"/>
      <c r="E33" s="126"/>
      <c r="F33" s="88"/>
      <c r="G33" s="5"/>
      <c r="H33" s="5"/>
      <c r="I33" s="4"/>
    </row>
    <row r="34">
      <c r="A34" s="4"/>
      <c r="B34" s="127" t="s">
        <v>341</v>
      </c>
      <c r="C34" s="128"/>
      <c r="D34" s="129" t="s">
        <v>342</v>
      </c>
      <c r="E34" s="128"/>
      <c r="F34" s="130"/>
      <c r="G34" s="5"/>
      <c r="H34" s="5"/>
      <c r="I34" s="4"/>
    </row>
    <row r="35">
      <c r="A35" s="4"/>
      <c r="B35" s="131" t="s">
        <v>343</v>
      </c>
      <c r="C35" s="11"/>
      <c r="D35" s="132" t="s">
        <v>344</v>
      </c>
      <c r="E35" s="11"/>
      <c r="F35" s="130"/>
      <c r="G35" s="5"/>
      <c r="H35" s="5"/>
      <c r="I35" s="4"/>
    </row>
    <row r="36">
      <c r="A36" s="4"/>
      <c r="B36" s="131" t="s">
        <v>345</v>
      </c>
      <c r="C36" s="11"/>
      <c r="D36" s="132" t="s">
        <v>344</v>
      </c>
      <c r="E36" s="11"/>
      <c r="F36" s="130"/>
      <c r="G36" s="5"/>
      <c r="H36" s="5"/>
      <c r="I36" s="4"/>
    </row>
    <row r="37">
      <c r="A37" s="4"/>
      <c r="B37" s="131" t="s">
        <v>346</v>
      </c>
      <c r="C37" s="11"/>
      <c r="D37" s="132" t="s">
        <v>347</v>
      </c>
      <c r="E37" s="11"/>
      <c r="F37" s="130"/>
      <c r="G37" s="5"/>
      <c r="H37" s="5"/>
      <c r="I37" s="4"/>
    </row>
    <row r="38">
      <c r="A38" s="4"/>
      <c r="B38" s="5"/>
      <c r="C38" s="4"/>
      <c r="D38" s="4"/>
      <c r="E38" s="4"/>
      <c r="F38" s="88"/>
      <c r="G38" s="5"/>
      <c r="H38" s="5"/>
      <c r="I38" s="4"/>
    </row>
    <row r="39">
      <c r="A39" s="4"/>
      <c r="B39" s="5"/>
      <c r="C39" s="4"/>
      <c r="D39" s="4"/>
      <c r="E39" s="4"/>
      <c r="F39" s="88"/>
      <c r="G39" s="5"/>
      <c r="H39" s="5"/>
      <c r="I39" s="4"/>
    </row>
    <row r="40">
      <c r="A40" s="4"/>
      <c r="B40" s="5"/>
      <c r="C40" s="4"/>
      <c r="D40" s="4"/>
      <c r="E40" s="4"/>
      <c r="F40" s="88"/>
      <c r="G40" s="5"/>
      <c r="H40" s="5"/>
      <c r="I40" s="4"/>
    </row>
    <row r="41">
      <c r="A41" s="4"/>
      <c r="B41" s="5"/>
      <c r="C41" s="4"/>
      <c r="D41" s="4"/>
      <c r="E41" s="4"/>
      <c r="F41" s="88"/>
      <c r="G41" s="5"/>
      <c r="H41" s="5"/>
      <c r="I41" s="4"/>
    </row>
    <row r="42">
      <c r="A42" s="4"/>
      <c r="B42" s="5"/>
      <c r="C42" s="4"/>
      <c r="D42" s="4"/>
      <c r="E42" s="4"/>
      <c r="F42" s="88"/>
      <c r="G42" s="5"/>
      <c r="H42" s="5"/>
      <c r="I42" s="4"/>
    </row>
    <row r="43">
      <c r="A43" s="4"/>
      <c r="B43" s="5"/>
      <c r="C43" s="4"/>
      <c r="D43" s="4"/>
      <c r="E43" s="4"/>
      <c r="F43" s="88"/>
      <c r="G43" s="5"/>
      <c r="H43" s="5"/>
      <c r="I43" s="4"/>
    </row>
    <row r="44">
      <c r="A44" s="4"/>
      <c r="B44" s="5"/>
      <c r="C44" s="4"/>
      <c r="D44" s="4"/>
      <c r="E44" s="4"/>
      <c r="F44" s="88"/>
      <c r="G44" s="5"/>
      <c r="H44" s="5"/>
      <c r="I44" s="4"/>
    </row>
    <row r="45">
      <c r="A45" s="4"/>
      <c r="B45" s="5"/>
      <c r="C45" s="4"/>
      <c r="D45" s="4"/>
      <c r="E45" s="4"/>
      <c r="F45" s="88"/>
      <c r="G45" s="5"/>
      <c r="H45" s="5"/>
      <c r="I45" s="4"/>
    </row>
    <row r="46">
      <c r="A46" s="4"/>
      <c r="B46" s="5"/>
      <c r="C46" s="4"/>
      <c r="D46" s="4"/>
      <c r="E46" s="4"/>
      <c r="F46" s="88"/>
      <c r="G46" s="5"/>
      <c r="H46" s="5"/>
      <c r="I46" s="4"/>
    </row>
    <row r="47">
      <c r="A47" s="4"/>
      <c r="B47" s="5"/>
      <c r="C47" s="4"/>
      <c r="D47" s="4"/>
      <c r="E47" s="4"/>
      <c r="F47" s="88"/>
      <c r="G47" s="5"/>
      <c r="H47" s="5"/>
      <c r="I47" s="4"/>
    </row>
    <row r="48">
      <c r="A48" s="4"/>
      <c r="B48" s="5"/>
      <c r="C48" s="4"/>
      <c r="D48" s="4"/>
      <c r="E48" s="4"/>
      <c r="F48" s="88"/>
      <c r="G48" s="5"/>
      <c r="H48" s="5"/>
      <c r="I48" s="4"/>
    </row>
    <row r="49">
      <c r="A49" s="4"/>
      <c r="B49" s="5"/>
      <c r="C49" s="4"/>
      <c r="D49" s="4"/>
      <c r="E49" s="4"/>
      <c r="F49" s="88"/>
      <c r="G49" s="5"/>
      <c r="H49" s="5"/>
      <c r="I49" s="4"/>
    </row>
  </sheetData>
  <mergeCells count="20">
    <mergeCell ref="C1:D2"/>
    <mergeCell ref="C3:E3"/>
    <mergeCell ref="D7:E7"/>
    <mergeCell ref="D10:E10"/>
    <mergeCell ref="D11:E11"/>
    <mergeCell ref="D12:E12"/>
    <mergeCell ref="D13:E13"/>
    <mergeCell ref="B35:C35"/>
    <mergeCell ref="D35:E35"/>
    <mergeCell ref="B36:C36"/>
    <mergeCell ref="D36:E36"/>
    <mergeCell ref="B37:C37"/>
    <mergeCell ref="D37:E37"/>
    <mergeCell ref="C16:D16"/>
    <mergeCell ref="C17:D17"/>
    <mergeCell ref="C30:E30"/>
    <mergeCell ref="B31:E31"/>
    <mergeCell ref="B32:E32"/>
    <mergeCell ref="B34:C34"/>
    <mergeCell ref="D34:E34"/>
  </mergeCells>
  <dataValidations>
    <dataValidation type="custom" allowBlank="1" showDropDown="1" sqref="H19:H24">
      <formula1>AND(ISNUMBER(H19),(NOT(OR(NOT(ISERROR(DATEVALUE(H19))), AND(ISNUMBER(H19), LEFT(CELL("format", H19))="D")))))</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22.5"/>
    <col customWidth="1" min="3" max="3" width="19.25"/>
    <col customWidth="1" min="4" max="4" width="23.13"/>
    <col customWidth="1" min="5" max="5" width="44.13"/>
    <col customWidth="1" min="6" max="6" width="34.13"/>
    <col customWidth="1" min="7" max="7" width="14.13"/>
    <col customWidth="1" min="8" max="8" width="16.5"/>
  </cols>
  <sheetData>
    <row r="1">
      <c r="A1" s="9"/>
      <c r="B1" s="9"/>
      <c r="C1" s="89" t="s">
        <v>245</v>
      </c>
      <c r="E1" s="4"/>
      <c r="F1" s="4"/>
      <c r="G1" s="5"/>
      <c r="H1" s="5"/>
      <c r="I1" s="4"/>
    </row>
    <row r="2">
      <c r="A2" s="4"/>
      <c r="B2" s="5"/>
      <c r="E2" s="16"/>
      <c r="F2" s="4"/>
      <c r="G2" s="5"/>
      <c r="H2" s="5"/>
      <c r="I2" s="4"/>
    </row>
    <row r="3">
      <c r="A3" s="4"/>
      <c r="B3" s="5"/>
      <c r="C3" s="8" t="s">
        <v>5</v>
      </c>
      <c r="D3" s="10"/>
      <c r="E3" s="11"/>
      <c r="F3" s="4"/>
      <c r="G3" s="5"/>
      <c r="H3" s="5"/>
      <c r="I3" s="4"/>
    </row>
    <row r="4">
      <c r="A4" s="4"/>
      <c r="B4" s="5"/>
      <c r="C4" s="12"/>
      <c r="D4" s="13"/>
      <c r="E4" s="29"/>
      <c r="F4" s="4"/>
      <c r="G4" s="5"/>
      <c r="H4" s="5"/>
      <c r="I4" s="4"/>
    </row>
    <row r="5">
      <c r="A5" s="4"/>
      <c r="B5" s="5"/>
      <c r="C5" s="15" t="s">
        <v>254</v>
      </c>
      <c r="D5" s="18" t="s">
        <v>257</v>
      </c>
      <c r="E5" s="20"/>
      <c r="F5" s="4"/>
      <c r="G5" s="5"/>
      <c r="H5" s="5"/>
      <c r="I5" s="4"/>
    </row>
    <row r="6">
      <c r="A6" s="4"/>
      <c r="B6" s="5"/>
      <c r="C6" s="12"/>
      <c r="D6" s="13"/>
      <c r="E6" s="29"/>
      <c r="F6" s="4"/>
      <c r="G6" s="5"/>
      <c r="H6" s="5"/>
      <c r="I6" s="4"/>
    </row>
    <row r="7">
      <c r="A7" s="4"/>
      <c r="B7" s="5"/>
      <c r="C7" s="22" t="s">
        <v>260</v>
      </c>
      <c r="D7" s="24" t="s">
        <v>261</v>
      </c>
      <c r="E7" s="11"/>
      <c r="F7" s="4"/>
      <c r="G7" s="5"/>
      <c r="H7" s="5"/>
      <c r="I7" s="4"/>
    </row>
    <row r="8">
      <c r="A8" s="4"/>
      <c r="B8" s="5"/>
      <c r="C8" s="12"/>
      <c r="D8" s="13"/>
      <c r="E8" s="29"/>
      <c r="F8" s="4"/>
      <c r="G8" s="5"/>
      <c r="H8" s="5"/>
      <c r="I8" s="4"/>
    </row>
    <row r="9">
      <c r="A9" s="4"/>
      <c r="B9" s="5"/>
      <c r="C9" s="22" t="s">
        <v>265</v>
      </c>
      <c r="D9" s="24" t="s">
        <v>266</v>
      </c>
      <c r="E9" s="11"/>
      <c r="F9" s="4"/>
      <c r="G9" s="5"/>
      <c r="H9" s="5"/>
      <c r="I9" s="4"/>
    </row>
    <row r="10">
      <c r="A10" s="4"/>
      <c r="B10" s="5"/>
      <c r="C10" s="12"/>
      <c r="D10" s="13"/>
      <c r="E10" s="29"/>
      <c r="F10" s="4"/>
      <c r="G10" s="5"/>
      <c r="H10" s="5"/>
      <c r="I10" s="4"/>
    </row>
    <row r="11">
      <c r="A11" s="4"/>
      <c r="B11" s="5"/>
      <c r="C11" s="22" t="s">
        <v>268</v>
      </c>
      <c r="D11" s="24" t="s">
        <v>269</v>
      </c>
      <c r="E11" s="11"/>
      <c r="F11" s="4"/>
      <c r="G11" s="5"/>
      <c r="H11" s="5"/>
      <c r="I11" s="4"/>
    </row>
    <row r="12">
      <c r="A12" s="4"/>
      <c r="B12" s="5"/>
      <c r="C12" s="37"/>
      <c r="D12" s="38"/>
      <c r="E12" s="39"/>
      <c r="F12" s="4"/>
      <c r="G12" s="5"/>
      <c r="H12" s="5"/>
      <c r="I12" s="4"/>
    </row>
    <row r="13">
      <c r="A13" s="4"/>
      <c r="B13" s="5"/>
      <c r="C13" s="4"/>
      <c r="D13" s="4"/>
      <c r="E13" s="4"/>
      <c r="F13" s="4"/>
      <c r="G13" s="5"/>
      <c r="H13" s="5"/>
      <c r="I13" s="4"/>
    </row>
    <row r="14">
      <c r="A14" s="4"/>
      <c r="B14" s="5"/>
      <c r="C14" s="97"/>
      <c r="D14" s="25"/>
      <c r="E14" s="4"/>
      <c r="F14" s="4"/>
      <c r="G14" s="5"/>
      <c r="H14" s="5"/>
      <c r="I14" s="4"/>
    </row>
    <row r="15">
      <c r="A15" s="4"/>
      <c r="B15" s="98"/>
      <c r="C15" s="25" t="s">
        <v>278</v>
      </c>
      <c r="E15" s="98"/>
      <c r="F15" s="98"/>
      <c r="G15" s="74"/>
      <c r="H15" s="74"/>
      <c r="I15" s="4"/>
    </row>
    <row r="16" ht="22.5" customHeight="1">
      <c r="A16" s="4"/>
      <c r="B16" s="43" t="s">
        <v>279</v>
      </c>
      <c r="C16" s="43" t="s">
        <v>280</v>
      </c>
      <c r="D16" s="43" t="s">
        <v>281</v>
      </c>
      <c r="E16" s="43" t="s">
        <v>282</v>
      </c>
      <c r="F16" s="43" t="s">
        <v>283</v>
      </c>
      <c r="G16" s="74"/>
      <c r="H16" s="74"/>
      <c r="I16" s="4"/>
    </row>
    <row r="17" ht="22.5" customHeight="1">
      <c r="A17" s="4"/>
      <c r="B17" s="31" t="s">
        <v>284</v>
      </c>
      <c r="C17" s="100" t="s">
        <v>285</v>
      </c>
      <c r="D17" s="102" t="s">
        <v>287</v>
      </c>
      <c r="E17" s="100" t="s">
        <v>285</v>
      </c>
      <c r="F17" s="104" t="s">
        <v>288</v>
      </c>
      <c r="G17" s="74"/>
      <c r="H17" s="74"/>
      <c r="I17" s="4"/>
    </row>
    <row r="18" ht="22.5" customHeight="1">
      <c r="A18" s="4"/>
      <c r="B18" s="31" t="s">
        <v>289</v>
      </c>
      <c r="C18" s="100" t="s">
        <v>285</v>
      </c>
      <c r="D18" s="102" t="s">
        <v>287</v>
      </c>
      <c r="E18" s="100" t="s">
        <v>285</v>
      </c>
      <c r="F18" s="104" t="s">
        <v>294</v>
      </c>
      <c r="G18" s="74"/>
      <c r="H18" s="74"/>
      <c r="I18" s="4"/>
    </row>
    <row r="19" ht="22.5" customHeight="1">
      <c r="A19" s="4"/>
      <c r="B19" s="31" t="s">
        <v>297</v>
      </c>
      <c r="C19" s="100" t="s">
        <v>285</v>
      </c>
      <c r="D19" s="104" t="s">
        <v>298</v>
      </c>
      <c r="E19" s="102" t="s">
        <v>299</v>
      </c>
      <c r="F19" s="100" t="s">
        <v>285</v>
      </c>
      <c r="G19" s="74"/>
      <c r="H19" s="74"/>
      <c r="I19" s="4"/>
    </row>
    <row r="20" ht="22.5" customHeight="1">
      <c r="A20" s="4"/>
      <c r="B20" s="31" t="s">
        <v>300</v>
      </c>
      <c r="C20" s="100" t="s">
        <v>285</v>
      </c>
      <c r="D20" s="100" t="s">
        <v>285</v>
      </c>
      <c r="E20" s="102" t="s">
        <v>301</v>
      </c>
      <c r="F20" s="100" t="s">
        <v>285</v>
      </c>
      <c r="G20" s="74"/>
      <c r="H20" s="74"/>
      <c r="I20" s="4"/>
    </row>
    <row r="21" ht="22.5" customHeight="1">
      <c r="A21" s="4"/>
      <c r="B21" s="31" t="s">
        <v>302</v>
      </c>
      <c r="C21" s="100" t="s">
        <v>285</v>
      </c>
      <c r="D21" s="102" t="s">
        <v>303</v>
      </c>
      <c r="E21" s="104" t="s">
        <v>304</v>
      </c>
      <c r="F21" s="104" t="s">
        <v>305</v>
      </c>
      <c r="G21" s="74"/>
      <c r="H21" s="74"/>
      <c r="I21" s="4"/>
    </row>
    <row r="22" ht="22.5" customHeight="1">
      <c r="A22" s="4"/>
      <c r="B22" s="31" t="s">
        <v>306</v>
      </c>
      <c r="C22" s="31" t="s">
        <v>307</v>
      </c>
      <c r="D22" s="31" t="s">
        <v>308</v>
      </c>
      <c r="E22" s="31" t="s">
        <v>309</v>
      </c>
      <c r="F22" s="31" t="s">
        <v>310</v>
      </c>
      <c r="G22" s="74"/>
      <c r="H22" s="74"/>
      <c r="I22" s="4"/>
    </row>
    <row r="23">
      <c r="A23" s="4"/>
      <c r="B23" s="74"/>
      <c r="C23" s="74"/>
      <c r="D23" s="74"/>
      <c r="E23" s="74"/>
      <c r="F23" s="74"/>
      <c r="G23" s="74"/>
      <c r="H23" s="74"/>
      <c r="I23" s="4"/>
    </row>
    <row r="24">
      <c r="A24" s="4"/>
      <c r="B24" s="74"/>
      <c r="C24" s="74"/>
      <c r="D24" s="74"/>
      <c r="E24" s="74"/>
      <c r="F24" s="74"/>
      <c r="G24" s="74"/>
      <c r="H24" s="74"/>
      <c r="I24" s="4"/>
    </row>
    <row r="25">
      <c r="A25" s="4"/>
      <c r="B25" s="74"/>
      <c r="C25" s="25" t="s">
        <v>311</v>
      </c>
      <c r="E25" s="74"/>
      <c r="F25" s="74"/>
      <c r="G25" s="74"/>
      <c r="H25" s="74"/>
      <c r="I25" s="4"/>
    </row>
    <row r="26" ht="22.5" customHeight="1">
      <c r="A26" s="4"/>
      <c r="B26" s="45" t="s">
        <v>312</v>
      </c>
      <c r="C26" s="45" t="s">
        <v>313</v>
      </c>
      <c r="D26" s="45" t="s">
        <v>314</v>
      </c>
      <c r="E26" s="45" t="s">
        <v>315</v>
      </c>
      <c r="F26" s="45" t="s">
        <v>316</v>
      </c>
      <c r="G26" s="74"/>
      <c r="H26" s="74"/>
      <c r="I26" s="4"/>
    </row>
    <row r="27" ht="22.5" customHeight="1">
      <c r="A27" s="4"/>
      <c r="B27" s="53" t="s">
        <v>317</v>
      </c>
      <c r="C27" s="53" t="s">
        <v>318</v>
      </c>
      <c r="D27" s="113" t="s">
        <v>319</v>
      </c>
      <c r="E27" s="56" t="s">
        <v>320</v>
      </c>
      <c r="F27" s="56" t="s">
        <v>321</v>
      </c>
      <c r="G27" s="5"/>
      <c r="H27" s="5"/>
      <c r="I27" s="4"/>
    </row>
    <row r="28" ht="22.5" customHeight="1">
      <c r="A28" s="4"/>
      <c r="B28" s="53" t="s">
        <v>322</v>
      </c>
      <c r="C28" s="53" t="s">
        <v>323</v>
      </c>
      <c r="D28" s="113" t="s">
        <v>324</v>
      </c>
      <c r="E28" s="56" t="s">
        <v>325</v>
      </c>
      <c r="F28" s="56" t="s">
        <v>326</v>
      </c>
      <c r="G28" s="5"/>
      <c r="H28" s="5"/>
      <c r="I28" s="4"/>
    </row>
    <row r="29" ht="22.5" customHeight="1">
      <c r="A29" s="4"/>
      <c r="B29" s="53" t="s">
        <v>327</v>
      </c>
      <c r="C29" s="53" t="s">
        <v>328</v>
      </c>
      <c r="D29" s="113" t="s">
        <v>72</v>
      </c>
      <c r="E29" s="56" t="s">
        <v>329</v>
      </c>
      <c r="F29" s="56" t="s">
        <v>330</v>
      </c>
      <c r="G29" s="5"/>
      <c r="H29" s="5"/>
      <c r="I29" s="4"/>
    </row>
    <row r="30" ht="22.5" customHeight="1">
      <c r="A30" s="4"/>
      <c r="B30" s="53" t="s">
        <v>331</v>
      </c>
      <c r="C30" s="53" t="s">
        <v>332</v>
      </c>
      <c r="D30" s="113" t="s">
        <v>333</v>
      </c>
      <c r="E30" s="56" t="s">
        <v>334</v>
      </c>
      <c r="F30" s="56" t="s">
        <v>335</v>
      </c>
      <c r="G30" s="5"/>
      <c r="H30" s="5"/>
      <c r="I30" s="4"/>
    </row>
    <row r="31">
      <c r="A31" s="4"/>
      <c r="B31" s="5"/>
      <c r="C31" s="4"/>
      <c r="D31" s="4"/>
      <c r="E31" s="4"/>
      <c r="F31" s="4"/>
      <c r="G31" s="5"/>
      <c r="H31" s="5"/>
      <c r="I31" s="4"/>
    </row>
    <row r="32">
      <c r="A32" s="4"/>
      <c r="B32" s="5"/>
      <c r="C32" s="4"/>
      <c r="D32" s="4"/>
      <c r="E32" s="4"/>
      <c r="F32" s="4"/>
      <c r="G32" s="5"/>
      <c r="H32" s="5"/>
      <c r="I32" s="4"/>
    </row>
    <row r="33">
      <c r="A33" s="4"/>
      <c r="B33" s="5"/>
      <c r="C33" s="4"/>
      <c r="D33" s="4"/>
      <c r="E33" s="4"/>
      <c r="F33" s="4"/>
      <c r="G33" s="5"/>
      <c r="H33" s="5"/>
      <c r="I33" s="4"/>
    </row>
    <row r="34">
      <c r="A34" s="4"/>
      <c r="B34" s="5"/>
      <c r="C34" s="4"/>
      <c r="D34" s="4"/>
      <c r="E34" s="4"/>
      <c r="F34" s="4"/>
      <c r="G34" s="5"/>
      <c r="H34" s="5"/>
      <c r="I34" s="4"/>
    </row>
    <row r="35">
      <c r="A35" s="4"/>
      <c r="B35" s="5"/>
      <c r="C35" s="4"/>
      <c r="D35" s="4"/>
      <c r="E35" s="4"/>
      <c r="F35" s="4"/>
      <c r="G35" s="5"/>
      <c r="H35" s="5"/>
      <c r="I35" s="4"/>
    </row>
    <row r="36">
      <c r="A36" s="4"/>
      <c r="B36" s="5"/>
      <c r="C36" s="4"/>
      <c r="D36" s="4"/>
      <c r="E36" s="4"/>
      <c r="F36" s="4"/>
      <c r="G36" s="5"/>
      <c r="H36" s="5"/>
      <c r="I36" s="4"/>
    </row>
    <row r="37">
      <c r="A37" s="4"/>
      <c r="B37" s="5"/>
      <c r="C37" s="4"/>
      <c r="D37" s="4"/>
      <c r="E37" s="4"/>
      <c r="F37" s="4"/>
      <c r="G37" s="5"/>
      <c r="H37" s="5"/>
      <c r="I37" s="4"/>
    </row>
    <row r="38">
      <c r="A38" s="4"/>
      <c r="B38" s="5"/>
      <c r="C38" s="4"/>
      <c r="D38" s="4"/>
      <c r="E38" s="4"/>
      <c r="F38" s="4"/>
      <c r="G38" s="5"/>
      <c r="H38" s="5"/>
      <c r="I38" s="4"/>
    </row>
    <row r="39">
      <c r="A39" s="4"/>
      <c r="B39" s="5"/>
      <c r="C39" s="4"/>
      <c r="D39" s="4"/>
      <c r="E39" s="4"/>
      <c r="F39" s="4"/>
      <c r="G39" s="5"/>
      <c r="H39" s="5"/>
      <c r="I39" s="4"/>
    </row>
    <row r="40">
      <c r="A40" s="4"/>
      <c r="B40" s="5"/>
      <c r="C40" s="4"/>
      <c r="D40" s="4"/>
      <c r="E40" s="4"/>
      <c r="F40" s="4"/>
      <c r="G40" s="5"/>
      <c r="H40" s="5"/>
      <c r="I40" s="4"/>
    </row>
    <row r="41">
      <c r="A41" s="4"/>
      <c r="B41" s="5"/>
      <c r="C41" s="4"/>
      <c r="D41" s="4"/>
      <c r="E41" s="4"/>
      <c r="F41" s="4"/>
      <c r="G41" s="5"/>
      <c r="H41" s="5"/>
      <c r="I41" s="4"/>
    </row>
    <row r="42">
      <c r="A42" s="4"/>
      <c r="B42" s="5"/>
      <c r="C42" s="4"/>
      <c r="D42" s="4"/>
      <c r="E42" s="4"/>
      <c r="F42" s="4"/>
      <c r="G42" s="5"/>
      <c r="H42" s="5"/>
      <c r="I42" s="4"/>
    </row>
    <row r="43">
      <c r="A43" s="4"/>
      <c r="B43" s="5"/>
      <c r="C43" s="4"/>
      <c r="D43" s="4"/>
      <c r="E43" s="4"/>
      <c r="F43" s="4"/>
      <c r="G43" s="5"/>
      <c r="H43" s="5"/>
      <c r="I43" s="4"/>
    </row>
    <row r="44">
      <c r="A44" s="4"/>
      <c r="B44" s="5"/>
      <c r="C44" s="4"/>
      <c r="D44" s="4"/>
      <c r="E44" s="4"/>
      <c r="F44" s="4"/>
      <c r="G44" s="5"/>
      <c r="H44" s="5"/>
      <c r="I44" s="4"/>
    </row>
    <row r="45">
      <c r="A45" s="4"/>
      <c r="B45" s="5"/>
      <c r="C45" s="4"/>
      <c r="D45" s="4"/>
      <c r="E45" s="4"/>
      <c r="F45" s="4"/>
      <c r="G45" s="5"/>
      <c r="H45" s="5"/>
      <c r="I45" s="4"/>
    </row>
    <row r="46">
      <c r="A46" s="4"/>
      <c r="B46" s="5"/>
      <c r="C46" s="4"/>
      <c r="D46" s="4"/>
      <c r="E46" s="4"/>
      <c r="F46" s="4"/>
      <c r="G46" s="5"/>
      <c r="H46" s="5"/>
      <c r="I46" s="4"/>
    </row>
    <row r="47">
      <c r="A47" s="4"/>
      <c r="B47" s="5"/>
      <c r="C47" s="4"/>
      <c r="D47" s="4"/>
      <c r="E47" s="4"/>
      <c r="F47" s="4"/>
      <c r="G47" s="5"/>
      <c r="H47" s="5"/>
      <c r="I47" s="4"/>
    </row>
    <row r="48">
      <c r="A48" s="4"/>
      <c r="B48" s="5"/>
      <c r="C48" s="4"/>
      <c r="D48" s="4"/>
      <c r="E48" s="4"/>
      <c r="F48" s="4"/>
      <c r="G48" s="5"/>
      <c r="H48" s="5"/>
      <c r="I48" s="4"/>
    </row>
    <row r="49">
      <c r="A49" s="4"/>
      <c r="B49" s="5"/>
      <c r="C49" s="4"/>
      <c r="D49" s="4"/>
      <c r="E49" s="4"/>
      <c r="F49" s="4"/>
      <c r="G49" s="5"/>
      <c r="H49" s="5"/>
      <c r="I49" s="4"/>
    </row>
    <row r="50">
      <c r="A50" s="4"/>
      <c r="B50" s="5"/>
      <c r="C50" s="4"/>
      <c r="D50" s="4"/>
      <c r="E50" s="4"/>
      <c r="F50" s="4"/>
      <c r="G50" s="5"/>
      <c r="H50" s="5"/>
      <c r="I50" s="4"/>
    </row>
    <row r="51">
      <c r="A51" s="4"/>
      <c r="B51" s="5"/>
      <c r="C51" s="4"/>
      <c r="D51" s="4"/>
      <c r="E51" s="4"/>
      <c r="F51" s="4"/>
      <c r="G51" s="5"/>
      <c r="H51" s="5"/>
      <c r="I51" s="4"/>
    </row>
    <row r="52">
      <c r="A52" s="4"/>
      <c r="B52" s="5"/>
      <c r="C52" s="4"/>
      <c r="D52" s="4"/>
      <c r="E52" s="4"/>
      <c r="F52" s="4"/>
      <c r="G52" s="5"/>
      <c r="H52" s="5"/>
      <c r="I52" s="4"/>
    </row>
    <row r="53">
      <c r="A53" s="4"/>
      <c r="B53" s="5"/>
      <c r="C53" s="4"/>
      <c r="D53" s="4"/>
      <c r="E53" s="4"/>
      <c r="F53" s="4"/>
      <c r="G53" s="5"/>
      <c r="H53" s="5"/>
      <c r="I53" s="4"/>
    </row>
    <row r="54">
      <c r="A54" s="4"/>
      <c r="B54" s="5"/>
      <c r="C54" s="4"/>
      <c r="D54" s="4"/>
      <c r="E54" s="4"/>
      <c r="F54" s="4"/>
      <c r="G54" s="5"/>
      <c r="H54" s="5"/>
      <c r="I54" s="4"/>
    </row>
    <row r="55">
      <c r="A55" s="4"/>
      <c r="B55" s="5"/>
      <c r="C55" s="4"/>
      <c r="D55" s="4"/>
      <c r="E55" s="4"/>
      <c r="F55" s="4"/>
      <c r="G55" s="5"/>
      <c r="H55" s="5"/>
      <c r="I55" s="4"/>
    </row>
    <row r="56">
      <c r="A56" s="4"/>
      <c r="B56" s="5"/>
      <c r="C56" s="4"/>
      <c r="D56" s="4"/>
      <c r="E56" s="4"/>
      <c r="F56" s="4"/>
      <c r="G56" s="5"/>
      <c r="H56" s="5"/>
      <c r="I56" s="4"/>
    </row>
    <row r="57">
      <c r="A57" s="4"/>
      <c r="B57" s="5"/>
      <c r="C57" s="4"/>
      <c r="D57" s="4"/>
      <c r="E57" s="4"/>
      <c r="F57" s="4"/>
      <c r="G57" s="5"/>
      <c r="H57" s="5"/>
      <c r="I57" s="4"/>
    </row>
    <row r="58">
      <c r="A58" s="4"/>
      <c r="B58" s="5"/>
      <c r="C58" s="4"/>
      <c r="D58" s="4"/>
      <c r="E58" s="4"/>
      <c r="F58" s="4"/>
      <c r="G58" s="5"/>
      <c r="H58" s="5"/>
      <c r="I58" s="4"/>
    </row>
    <row r="59">
      <c r="A59" s="4"/>
      <c r="B59" s="5"/>
      <c r="C59" s="4"/>
      <c r="D59" s="4"/>
      <c r="E59" s="4"/>
      <c r="F59" s="4"/>
      <c r="G59" s="5"/>
      <c r="H59" s="5"/>
      <c r="I59" s="4"/>
    </row>
    <row r="60">
      <c r="A60" s="4"/>
      <c r="B60" s="5"/>
      <c r="C60" s="4"/>
      <c r="D60" s="4"/>
      <c r="E60" s="4"/>
      <c r="F60" s="4"/>
      <c r="G60" s="5"/>
      <c r="H60" s="5"/>
      <c r="I60" s="4"/>
    </row>
    <row r="61">
      <c r="A61" s="4"/>
      <c r="B61" s="5"/>
      <c r="C61" s="4"/>
      <c r="D61" s="4"/>
      <c r="E61" s="4"/>
      <c r="F61" s="4"/>
      <c r="G61" s="5"/>
      <c r="H61" s="5"/>
      <c r="I61" s="4"/>
    </row>
    <row r="62">
      <c r="A62" s="4"/>
      <c r="B62" s="5"/>
      <c r="C62" s="4"/>
      <c r="D62" s="4"/>
      <c r="E62" s="4"/>
      <c r="F62" s="4"/>
      <c r="G62" s="5"/>
      <c r="H62" s="5"/>
      <c r="I62" s="4"/>
    </row>
    <row r="63">
      <c r="A63" s="4"/>
      <c r="B63" s="5"/>
      <c r="C63" s="4"/>
      <c r="D63" s="4"/>
      <c r="E63" s="4"/>
      <c r="F63" s="4"/>
      <c r="G63" s="5"/>
      <c r="H63" s="5"/>
      <c r="I63" s="4"/>
    </row>
    <row r="64">
      <c r="A64" s="4"/>
      <c r="B64" s="5"/>
      <c r="C64" s="4"/>
      <c r="D64" s="4"/>
      <c r="E64" s="4"/>
      <c r="F64" s="4"/>
      <c r="G64" s="5"/>
      <c r="H64" s="5"/>
      <c r="I64" s="4"/>
    </row>
    <row r="65">
      <c r="A65" s="4"/>
      <c r="B65" s="5"/>
      <c r="C65" s="4"/>
      <c r="D65" s="4"/>
      <c r="E65" s="4"/>
      <c r="F65" s="4"/>
      <c r="G65" s="5"/>
      <c r="H65" s="5"/>
      <c r="I65" s="4"/>
    </row>
    <row r="66">
      <c r="A66" s="4"/>
      <c r="B66" s="5"/>
      <c r="C66" s="4"/>
      <c r="D66" s="4"/>
      <c r="E66" s="4"/>
      <c r="F66" s="4"/>
      <c r="G66" s="5"/>
      <c r="H66" s="5"/>
      <c r="I66" s="4"/>
    </row>
    <row r="67">
      <c r="A67" s="4"/>
      <c r="B67" s="5"/>
      <c r="C67" s="4"/>
      <c r="D67" s="4"/>
      <c r="E67" s="4"/>
      <c r="F67" s="4"/>
      <c r="G67" s="5"/>
      <c r="H67" s="5"/>
      <c r="I67" s="4"/>
    </row>
    <row r="68">
      <c r="A68" s="4"/>
      <c r="B68" s="5"/>
      <c r="C68" s="4"/>
      <c r="D68" s="4"/>
      <c r="E68" s="4"/>
      <c r="F68" s="4"/>
      <c r="G68" s="5"/>
      <c r="H68" s="5"/>
      <c r="I68" s="4"/>
    </row>
    <row r="69">
      <c r="A69" s="4"/>
      <c r="B69" s="5"/>
      <c r="C69" s="4"/>
      <c r="D69" s="4"/>
      <c r="E69" s="4"/>
      <c r="F69" s="4"/>
      <c r="G69" s="5"/>
      <c r="H69" s="5"/>
      <c r="I69" s="4"/>
    </row>
    <row r="70">
      <c r="A70" s="4"/>
      <c r="B70" s="5"/>
      <c r="C70" s="4"/>
      <c r="D70" s="4"/>
      <c r="E70" s="4"/>
      <c r="F70" s="4"/>
      <c r="G70" s="5"/>
      <c r="H70" s="5"/>
      <c r="I70" s="4"/>
    </row>
    <row r="71">
      <c r="A71" s="4"/>
      <c r="B71" s="5"/>
      <c r="C71" s="4"/>
      <c r="D71" s="4"/>
      <c r="E71" s="4"/>
      <c r="F71" s="4"/>
      <c r="G71" s="5"/>
      <c r="H71" s="5"/>
      <c r="I71" s="4"/>
    </row>
    <row r="72">
      <c r="A72" s="4"/>
      <c r="B72" s="5"/>
      <c r="C72" s="4"/>
      <c r="D72" s="4"/>
      <c r="E72" s="4"/>
      <c r="F72" s="4"/>
      <c r="G72" s="5"/>
      <c r="H72" s="5"/>
      <c r="I72" s="4"/>
    </row>
    <row r="73">
      <c r="A73" s="4"/>
      <c r="B73" s="5"/>
      <c r="C73" s="4"/>
      <c r="D73" s="4"/>
      <c r="E73" s="4"/>
      <c r="F73" s="4"/>
      <c r="G73" s="5"/>
      <c r="H73" s="5"/>
      <c r="I73" s="4"/>
    </row>
    <row r="74">
      <c r="A74" s="4"/>
      <c r="B74" s="5"/>
      <c r="C74" s="4"/>
      <c r="D74" s="4"/>
      <c r="E74" s="4"/>
      <c r="F74" s="4"/>
      <c r="G74" s="5"/>
      <c r="H74" s="5"/>
      <c r="I74" s="4"/>
    </row>
    <row r="75">
      <c r="A75" s="4"/>
      <c r="B75" s="5"/>
      <c r="C75" s="4"/>
      <c r="D75" s="4"/>
      <c r="E75" s="4"/>
      <c r="F75" s="4"/>
      <c r="G75" s="5"/>
      <c r="H75" s="5"/>
      <c r="I75" s="4"/>
    </row>
    <row r="76">
      <c r="A76" s="4"/>
      <c r="B76" s="5"/>
      <c r="C76" s="4"/>
      <c r="D76" s="4"/>
      <c r="E76" s="4"/>
      <c r="F76" s="4"/>
      <c r="G76" s="5"/>
      <c r="H76" s="5"/>
      <c r="I76" s="4"/>
    </row>
    <row r="77">
      <c r="A77" s="4"/>
      <c r="B77" s="5"/>
      <c r="C77" s="4"/>
      <c r="D77" s="4"/>
      <c r="E77" s="4"/>
      <c r="F77" s="4"/>
      <c r="G77" s="5"/>
      <c r="H77" s="5"/>
      <c r="I77" s="4"/>
    </row>
  </sheetData>
  <mergeCells count="8">
    <mergeCell ref="C1:D2"/>
    <mergeCell ref="C3:E3"/>
    <mergeCell ref="D5:E5"/>
    <mergeCell ref="D7:E7"/>
    <mergeCell ref="D9:E9"/>
    <mergeCell ref="D11:E11"/>
    <mergeCell ref="C15:D15"/>
    <mergeCell ref="C25:D25"/>
  </mergeCells>
  <dataValidations>
    <dataValidation type="list" allowBlank="1" sqref="D27:D30">
      <formula1>"AI / Support Automation,Agent Productivity,Knowledge Base,Analytics"</formula1>
    </dataValidation>
  </dataValidations>
  <drawing r:id="rId1"/>
  <tableParts count="2">
    <tablePart r:id="rId4"/>
    <tablePart r:id="rId5"/>
  </tableParts>
</worksheet>
</file>